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7650ab87b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d112752546634a3f"/>
    <x:sheet xmlns:r="http://schemas.openxmlformats.org/officeDocument/2006/relationships" name="app_user" sheetId="2" r:id="R4481c8248a2641f3"/>
    <x:sheet xmlns:r="http://schemas.openxmlformats.org/officeDocument/2006/relationships" name="user_role" sheetId="3" r:id="Ra2e688d6d44d43fa"/>
    <x:sheet xmlns:r="http://schemas.openxmlformats.org/officeDocument/2006/relationships" name="asset" sheetId="4" r:id="R9b3713e7f0464d16"/>
    <x:sheet xmlns:r="http://schemas.openxmlformats.org/officeDocument/2006/relationships" name="scope_revision" sheetId="5" r:id="R62efacb8d4074452"/>
    <x:sheet xmlns:r="http://schemas.openxmlformats.org/officeDocument/2006/relationships" name="scope_rule" sheetId="6" r:id="R65fb8ca7890a4cf4"/>
    <x:sheet xmlns:r="http://schemas.openxmlformats.org/officeDocument/2006/relationships" name="scan_window" sheetId="7" r:id="Rd72d8d9b7c064108"/>
    <x:sheet xmlns:r="http://schemas.openxmlformats.org/officeDocument/2006/relationships" name="zap_profile" sheetId="8" r:id="R9cbaa0de475343df"/>
    <x:sheet xmlns:r="http://schemas.openxmlformats.org/officeDocument/2006/relationships" name="scan_plan" sheetId="9" r:id="R9639e89aa206410b"/>
    <x:sheet xmlns:r="http://schemas.openxmlformats.org/officeDocument/2006/relationships" name="scan_run" sheetId="10" r:id="Rd1c1ede44fad4c20"/>
    <x:sheet xmlns:r="http://schemas.openxmlformats.org/officeDocument/2006/relationships" name="finding" sheetId="11" r:id="R4fbec07f07a64770"/>
    <x:sheet xmlns:r="http://schemas.openxmlformats.org/officeDocument/2006/relationships" name="finding_occ" sheetId="12" r:id="Rc3e2314db64c4dab"/>
    <x:sheet xmlns:r="http://schemas.openxmlformats.org/officeDocument/2006/relationships" name="remediation" sheetId="13" r:id="Rc6524a48eab64529"/>
    <x:sheet xmlns:r="http://schemas.openxmlformats.org/officeDocument/2006/relationships" name="audit_log" sheetId="14" r:id="R69c20a0e966b45ae"/>
    <x:sheet xmlns:r="http://schemas.openxmlformats.org/officeDocument/2006/relationships" name="Truy_van" sheetId="15" r:id="Rb02a00b87d37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6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D2939"/>
      <x:name val="Arial"/>
    </x:font>
    <x:font>
      <x:sz val="9"/>
      <x:color rgb="FF1D2939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7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c8c4488de445a" /><Relationship Type="http://schemas.openxmlformats.org/officeDocument/2006/relationships/theme" Target="/xl/theme/theme1.xml" Id="R1057324375ba4ccd" /><Relationship Type="http://schemas.microsoft.com/office/2022/11/relationships/FeaturePropertyBag" Target="/xl/featurePropertyBag/featurePropertyBag.xml" Id="R0028045512184468" /><Relationship Type="http://schemas.openxmlformats.org/officeDocument/2006/relationships/sharedStrings" Target="/xl/sharedStrings.xml" Id="Re75f81ba16c24f76" /><Relationship Type="http://schemas.openxmlformats.org/officeDocument/2006/relationships/worksheet" Target="/xl/worksheets/sheet1.xml" Id="Rd112752546634a3f" /><Relationship Type="http://schemas.openxmlformats.org/officeDocument/2006/relationships/worksheet" Target="/xl/worksheets/sheet2.xml" Id="R4481c8248a2641f3" /><Relationship Type="http://schemas.openxmlformats.org/officeDocument/2006/relationships/worksheet" Target="/xl/worksheets/sheet3.xml" Id="Ra2e688d6d44d43fa" /><Relationship Type="http://schemas.openxmlformats.org/officeDocument/2006/relationships/worksheet" Target="/xl/worksheets/sheet4.xml" Id="R9b3713e7f0464d16" /><Relationship Type="http://schemas.openxmlformats.org/officeDocument/2006/relationships/worksheet" Target="/xl/worksheets/sheet5.xml" Id="R62efacb8d4074452" /><Relationship Type="http://schemas.openxmlformats.org/officeDocument/2006/relationships/worksheet" Target="/xl/worksheets/sheet6.xml" Id="R65fb8ca7890a4cf4" /><Relationship Type="http://schemas.openxmlformats.org/officeDocument/2006/relationships/worksheet" Target="/xl/worksheets/sheet7.xml" Id="Rd72d8d9b7c064108" /><Relationship Type="http://schemas.openxmlformats.org/officeDocument/2006/relationships/worksheet" Target="/xl/worksheets/sheet8.xml" Id="R9cbaa0de475343df" /><Relationship Type="http://schemas.openxmlformats.org/officeDocument/2006/relationships/worksheet" Target="/xl/worksheets/sheet9.xml" Id="R9639e89aa206410b" /><Relationship Type="http://schemas.openxmlformats.org/officeDocument/2006/relationships/worksheet" Target="/xl/worksheets/sheet10.xml" Id="Rd1c1ede44fad4c20" /><Relationship Type="http://schemas.openxmlformats.org/officeDocument/2006/relationships/worksheet" Target="/xl/worksheets/sheet11.xml" Id="R4fbec07f07a64770" /><Relationship Type="http://schemas.openxmlformats.org/officeDocument/2006/relationships/worksheet" Target="/xl/worksheets/sheet12.xml" Id="Rc3e2314db64c4dab" /><Relationship Type="http://schemas.openxmlformats.org/officeDocument/2006/relationships/worksheet" Target="/xl/worksheets/sheet13.xml" Id="Rc6524a48eab64529" /><Relationship Type="http://schemas.openxmlformats.org/officeDocument/2006/relationships/worksheet" Target="/xl/worksheets/sheet14.xml" Id="R69c20a0e966b45ae" /><Relationship Type="http://schemas.openxmlformats.org/officeDocument/2006/relationships/worksheet" Target="/xl/worksheets/sheet15.xml" Id="Rb02a00b87d3744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4" name="TblOverview" displayName="TblOverview" ref="A5:E18" headerRowCount="1" totalsRowCount="0" totalsRowShown="0">
  <x:tableColumns count="5">
    <x:tableColumn id="1" name="STT"/>
    <x:tableColumn id="2" name="Bảng"/>
    <x:tableColumn id="3" name="Worksheet"/>
    <x:tableColumn id="4" name="Vai trò"/>
    <x:tableColumn id="5" name="Số bản ghi mẫ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AppUser" displayName="TblAppUser" ref="A5:G13" headerRowCount="1" totalsRowCount="0" totalsRowShown="0">
  <x:tableColumns count="7">
    <x:tableColumn id="1" name="id"/>
    <x:tableColumn id="2" name="username"/>
    <x:tableColumn id="3" name="display_name"/>
    <x:tableColumn id="4" name="account_kind"/>
    <x:tableColumn id="5" name="password_hash"/>
    <x:tableColumn id="6" name="is_active"/>
    <x:tableColumn id="7" name="cre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blUserRole" displayName="TblUserRole" ref="A5:H15" headerRowCount="1" totalsRowCount="0" totalsRowShown="0">
  <x:tableColumns count="8">
    <x:tableColumn id="1" name="id"/>
    <x:tableColumn id="2" name="user_id"/>
    <x:tableColumn id="3" name="role_code"/>
    <x:tableColumn id="4" name="asset_id"/>
    <x:tableColumn id="5" name="granted_by"/>
    <x:tableColumn id="6" name="granted_at"/>
    <x:tableColumn id="7" name="revoked_by"/>
    <x:tableColumn id="8" name="revoked_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blAsset" displayName="TblAsset" ref="A5:N8" headerRowCount="1" totalsRowCount="0" totalsRowShown="0">
  <x:tableColumns count="14">
    <x:tableColumn id="1" name="id"/>
    <x:tableColumn id="2" name="code"/>
    <x:tableColumn id="3" name="name"/>
    <x:tableColumn id="4" name="base_url"/>
    <x:tableColumn id="5" name="environment"/>
    <x:tableColumn id="6" name="owner_id"/>
    <x:tableColumn id="7" name="security_officer_id"/>
    <x:tableColumn id="8" name="criticality"/>
    <x:tableColumn id="9" name="data_classification"/>
    <x:tableColumn id="10" name="internet_exposed"/>
    <x:tableColumn id="11" name="status"/>
    <x:tableColumn id="12" name="created_by"/>
    <x:tableColumn id="13" name="created_at"/>
    <x:tableColumn id="14" name="updated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blScopeRevision" displayName="TblScopeRevision" ref="A5:N8" headerRowCount="1" totalsRowCount="0" totalsRowShown="0">
  <x:tableColumns count="14">
    <x:tableColumn id="1" name="id"/>
    <x:tableColumn id="2" name="asset_id"/>
    <x:tableColumn id="3" name="version_no"/>
    <x:tableColumn id="4" name="status"/>
    <x:tableColumn id="5" name="change_reason"/>
    <x:tableColumn id="6" name="created_by"/>
    <x:tableColumn id="7" name="created_at"/>
    <x:tableColumn id="8" name="confirmed_by"/>
    <x:tableColumn id="9" name="confirmed_at"/>
    <x:tableColumn id="10" name="decided_by"/>
    <x:tableColumn id="11" name="decided_at"/>
    <x:tableColumn id="12" name="decision_reason"/>
    <x:tableColumn id="13" name="effective_from"/>
    <x:tableColumn id="14" name="effective_unt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blScopeRule" displayName="TblScopeRule" ref="A5:F12" headerRowCount="1" totalsRowCount="0" totalsRowShown="0">
  <x:tableColumns count="6">
    <x:tableColumn id="1" name="id"/>
    <x:tableColumn id="2" name="scope_id"/>
    <x:tableColumn id="3" name="effect"/>
    <x:tableColumn id="4" name="target_type"/>
    <x:tableColumn id="5" name="target_value"/>
    <x:tableColumn id="6" name="match_mo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blScanWindow" displayName="TblScanWindow" ref="A5:G9" headerRowCount="1" totalsRowCount="0" totalsRowShown="0">
  <x:tableColumns count="7">
    <x:tableColumn id="1" name="id"/>
    <x:tableColumn id="2" name="scope_id"/>
    <x:tableColumn id="3" name="weekday_iso"/>
    <x:tableColumn id="4" name="start_time"/>
    <x:tableColumn id="5" name="end_time"/>
    <x:tableColumn id="6" name="ends_next_day"/>
    <x:tableColumn id="7" name="timezon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blZapProfile" displayName="TblZapProfile" ref="A5:U7" headerRowCount="1" totalsRowCount="0" totalsRowShown="0">
  <x:tableColumns count="21">
    <x:tableColumn id="1" name="id"/>
    <x:tableColumn id="2" name="code"/>
    <x:tableColumn id="3" name="name"/>
    <x:tableColumn id="4" name="version_no"/>
    <x:tableColumn id="5" name="status"/>
    <x:tableColumn id="6" name="spider_kind"/>
    <x:tableColumn id="7" name="passive_scan_enabled"/>
    <x:tableColumn id="8" name="active_scan_enabled"/>
    <x:tableColumn id="9" name="max_crawl_depth"/>
    <x:tableColumn id="10" name="max_duration_minutes"/>
    <x:tableColumn id="11" name="request_delay_ms"/>
    <x:tableColumn id="12" name="max_threads"/>
    <x:tableColumn id="13" name="auth_kind"/>
    <x:tableColumn id="14" name="auth_header_name"/>
    <x:tableColumn id="15" name="auth_secret_ref"/>
    <x:tableColumn id="16" name="report_format"/>
    <x:tableColumn id="17" name="service_user_id"/>
    <x:tableColumn id="18" name="created_by"/>
    <x:tableColumn id="19" name="created_at"/>
    <x:tableColumn id="20" name="approved_by"/>
    <x:tableColumn id="21" name="approved_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blScanPlan" displayName="TblScanPlan" ref="A5:S8" headerRowCount="1" totalsRowCount="0" totalsRowShown="0">
  <x:tableColumns count="19">
    <x:tableColumn id="1" name="id"/>
    <x:tableColumn id="2" name="code"/>
    <x:tableColumn id="3" name="version_no"/>
    <x:tableColumn id="4" name="name"/>
    <x:tableColumn id="5" name="plan_kind"/>
    <x:tableColumn id="6" name="scope_id"/>
    <x:tableColumn id="7" name="zap_profile_id"/>
    <x:tableColumn id="8" name="operator_id"/>
    <x:tableColumn id="9" name="status"/>
    <x:tableColumn id="10" name="recurrence_rule"/>
    <x:tableColumn id="11" name="timezone"/>
    <x:tableColumn id="12" name="effective_from"/>
    <x:tableColumn id="13" name="effective_until"/>
    <x:tableColumn id="14" name="remediation_ticket_id"/>
    <x:tableColumn id="15" name="requested_for"/>
    <x:tableColumn id="16" name="created_by"/>
    <x:tableColumn id="17" name="created_at"/>
    <x:tableColumn id="18" name="approved_by"/>
    <x:tableColumn id="19" name="approved_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blScanRun" displayName="TblScanRun" ref="A5:Z10" headerRowCount="1" totalsRowCount="0" totalsRowShown="0">
  <x:tableColumns count="26">
    <x:tableColumn id="1" name="id"/>
    <x:tableColumn id="2" name="plan_id"/>
    <x:tableColumn id="3" name="code"/>
    <x:tableColumn id="4" name="scheduled_for"/>
    <x:tableColumn id="5" name="scan_status"/>
    <x:tableColumn id="6" name="started_at"/>
    <x:tableColumn id="7" name="heartbeat_at"/>
    <x:tableColumn id="8" name="finished_at"/>
    <x:tableColumn id="9" name="external_session_id"/>
    <x:tableColumn id="10" name="zap_version"/>
    <x:tableColumn id="11" name="exit_code"/>
    <x:tableColumn id="12" name="failure_code"/>
    <x:tableColumn id="13" name="failure_message_masked"/>
    <x:tableColumn id="14" name="report_status"/>
    <x:tableColumn id="15" name="report_object_key"/>
    <x:tableColumn id="16" name="report_sha256"/>
    <x:tableColumn id="17" name="report_size_bytes"/>
    <x:tableColumn id="18" name="report_format"/>
    <x:tableColumn id="19" name="report_key_ref"/>
    <x:tableColumn id="20" name="report_received_at"/>
    <x:tableColumn id="21" name="coverage_confirmed"/>
    <x:tableColumn id="22" name="fingerprint_present"/>
    <x:tableColumn id="23" name="verification_outcome"/>
    <x:tableColumn id="24" name="verification_reason"/>
    <x:tableColumn id="25" name="evaluated_by"/>
    <x:tableColumn id="26" name="evaluated_a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blFinding" displayName="TblFinding" ref="A5:S9" headerRowCount="1" totalsRowCount="0" totalsRowShown="0">
  <x:tableColumns count="19">
    <x:tableColumn id="1" name="id"/>
    <x:tableColumn id="2" name="asset_id"/>
    <x:tableColumn id="3" name="code"/>
    <x:tableColumn id="4" name="fingerprint"/>
    <x:tableColumn id="5" name="source_alert_ref"/>
    <x:tableColumn id="6" name="affected_url_masked"/>
    <x:tableColumn id="7" name="parameter_masked"/>
    <x:tableColumn id="8" name="http_method"/>
    <x:tableColumn id="9" name="title_masked"/>
    <x:tableColumn id="10" name="final_severity"/>
    <x:tableColumn id="11" name="severity_reason"/>
    <x:tableColumn id="12" name="assessed_by"/>
    <x:tableColumn id="13" name="assessed_at"/>
    <x:tableColumn id="14" name="status"/>
    <x:tableColumn id="15" name="decision_reason"/>
    <x:tableColumn id="16" name="decision_by"/>
    <x:tableColumn id="17" name="decision_at"/>
    <x:tableColumn id="18" name="created_at"/>
    <x:tableColumn id="19" name="row_vers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blFindingOccurrence" displayName="TblFindingOccurrence" ref="A5:M9" headerRowCount="1" totalsRowCount="0" totalsRowShown="0">
  <x:tableColumns count="13">
    <x:tableColumn id="1" name="id"/>
    <x:tableColumn id="2" name="finding_id"/>
    <x:tableColumn id="3" name="scan_run_id"/>
    <x:tableColumn id="4" name="record_locator"/>
    <x:tableColumn id="5" name="source_severity"/>
    <x:tableColumn id="6" name="source_confidence"/>
    <x:tableColumn id="7" name="source_attack_masked"/>
    <x:tableColumn id="8" name="source_evidence_masked"/>
    <x:tableColumn id="9" name="description_masked"/>
    <x:tableColumn id="10" name="remediation_guidance_masked"/>
    <x:tableColumn id="11" name="cwe_id"/>
    <x:tableColumn id="12" name="wasc_id"/>
    <x:tableColumn id="13" name="created_a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blRemediationTicket" displayName="TblRemediationTicket" ref="A5:S8" headerRowCount="1" totalsRowCount="0" totalsRowShown="0">
  <x:tableColumns count="19">
    <x:tableColumn id="1" name="id"/>
    <x:tableColumn id="2" name="finding_id"/>
    <x:tableColumn id="3" name="code"/>
    <x:tableColumn id="4" name="assignee_id"/>
    <x:tableColumn id="5" name="assigned_by"/>
    <x:tableColumn id="6" name="assigned_at"/>
    <x:tableColumn id="7" name="due_at"/>
    <x:tableColumn id="8" name="progress_percent"/>
    <x:tableColumn id="9" name="root_cause_masked"/>
    <x:tableColumn id="10" name="remediation_action_masked"/>
    <x:tableColumn id="11" name="evidence_summary_masked"/>
    <x:tableColumn id="12" name="evidence_object_key"/>
    <x:tableColumn id="13" name="evidence_sha256"/>
    <x:tableColumn id="14" name="evidence_key_ref"/>
    <x:tableColumn id="15" name="remediated_at"/>
    <x:tableColumn id="16" name="created_by"/>
    <x:tableColumn id="17" name="created_at"/>
    <x:tableColumn id="18" name="updated_by"/>
    <x:tableColumn id="19" name="updated_a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blAuditLog" displayName="TblAuditLog" ref="A5:M11" headerRowCount="1" totalsRowCount="0" totalsRowShown="0">
  <x:tableColumns count="13">
    <x:tableColumn id="1" name="id"/>
    <x:tableColumn id="2" name="actor_id"/>
    <x:tableColumn id="3" name="actor_kind"/>
    <x:tableColumn id="4" name="occurred_at"/>
    <x:tableColumn id="5" name="category"/>
    <x:tableColumn id="6" name="action"/>
    <x:tableColumn id="7" name="object_type"/>
    <x:tableColumn id="8" name="object_id"/>
    <x:tableColumn id="9" name="outcome"/>
    <x:tableColumn id="10" name="before_masked"/>
    <x:tableColumn id="11" name="after_masked"/>
    <x:tableColumn id="12" name="reason_masked"/>
    <x:tableColumn id="13" name="correlation_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Queries" displayName="TblQueries" ref="A5:D15" headerRowCount="1" totalsRowCount="0" totalsRowShown="0">
  <x:tableColumns count="4">
    <x:tableColumn id="1" name="STT"/>
    <x:tableColumn id="2" name="Mục đích"/>
    <x:tableColumn id="3" name="SQL"/>
    <x:tableColumn id="4" name="Kết quả minh họ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91ee72e4dc42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d4f32a6d5147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10f7879a5741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f1b6672d8a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b90d8955a444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0799e04a6284c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0cce38d634143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fb619db460848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7d038853e3f4c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cf72ca9f74247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73a5bdade0140a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25bc27cf7854f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98dea6ba3db42a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894d0f02e054eb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8934d48ceb6435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22" hidden="0" customWidth="1"/>
    <x:col min="4" max="4" width="42" hidden="0" customWidth="1"/>
    <x:col min="5" max="5" width="17" hidden="0" customWidth="1"/>
  </x:cols>
  <x:sheetData>
    <x:row r="2">
      <x:c r="A2" s="3" t="str">
        <x:v>Dữ liệu mẫu mô hình 13 bảng</x:v>
      </x:c>
      <x:c r="B2" s="4"/>
      <x:c r="C2" s="4"/>
      <x:c r="D2" s="4"/>
      <x:c r="E2" s="4"/>
    </x:row>
    <x:row r="3">
      <x:c r="A3" s="2" t="str">
        <x:v>Nguồn: database/10_du_lieu_mau_va_truy_van_13_bang.md. Dữ liệu giả dùng để minh họa quan hệ và truy vấn.</x:v>
      </x:c>
      <x:c r="B3" s="2"/>
      <x:c r="C3" s="2"/>
      <x:c r="D3" s="2"/>
      <x:c r="E3" s="2"/>
    </x:row>
    <x:row r="5" ht="15" hidden="0" customHeight="1">
      <x:c r="A5" s="29" t="str">
        <x:v>STT</x:v>
      </x:c>
      <x:c r="B5" s="30" t="str">
        <x:v>Bảng</x:v>
      </x:c>
      <x:c r="C5" s="30" t="str">
        <x:v>Worksheet</x:v>
      </x:c>
      <x:c r="D5" s="30" t="str">
        <x:v>Vai trò</x:v>
      </x:c>
      <x:c r="E5" s="31" t="str">
        <x:v>Số bản ghi mẫu</x:v>
      </x:c>
    </x:row>
    <x:row r="6" ht="15" hidden="0" customHeight="1">
      <x:c r="A6" s="20" t="n">
        <x:v>1</x:v>
      </x:c>
      <x:c r="B6" s="20" t="str">
        <x:v>app_user</x:v>
      </x:c>
      <x:c r="C6" s="20" t="str">
        <x:v>app_user</x:v>
      </x:c>
      <x:c r="D6" s="20" t="str">
        <x:v>Người dùng và tài khoản dịch vụ</x:v>
      </x:c>
      <x:c r="E6" s="32" t="n">
        <x:f>COUNTA('app_user'!A6:A13)</x:f>
        <x:v>8</x:v>
      </x:c>
    </x:row>
    <x:row r="7" ht="15" hidden="0" customHeight="1">
      <x:c r="A7" s="20" t="n">
        <x:v>2</x:v>
      </x:c>
      <x:c r="B7" s="20" t="str">
        <x:v>user_role</x:v>
      </x:c>
      <x:c r="C7" s="20" t="str">
        <x:v>user_role</x:v>
      </x:c>
      <x:c r="D7" s="20" t="str">
        <x:v>Vai trò tối thiểu theo tài sản</x:v>
      </x:c>
      <x:c r="E7" s="32" t="n">
        <x:f>COUNTA('user_role'!A6:A15)</x:f>
        <x:v>10</x:v>
      </x:c>
    </x:row>
    <x:row r="8" ht="15" hidden="0" customHeight="1">
      <x:c r="A8" s="20" t="n">
        <x:v>3</x:v>
      </x:c>
      <x:c r="B8" s="20" t="str">
        <x:v>asset</x:v>
      </x:c>
      <x:c r="C8" s="20" t="str">
        <x:v>asset</x:v>
      </x:c>
      <x:c r="D8" s="20" t="str">
        <x:v>Website hoặc tài sản cần quét</x:v>
      </x:c>
      <x:c r="E8" s="32" t="n">
        <x:f>COUNTA('asset'!A6:A8)</x:f>
        <x:v>3</x:v>
      </x:c>
    </x:row>
    <x:row r="9" ht="15" hidden="0" customHeight="1">
      <x:c r="A9" s="20" t="n">
        <x:v>4</x:v>
      </x:c>
      <x:c r="B9" s="20" t="str">
        <x:v>asset_scope_revision</x:v>
      </x:c>
      <x:c r="C9" s="20" t="str">
        <x:v>scope_revision</x:v>
      </x:c>
      <x:c r="D9" s="20" t="str">
        <x:v>Phiên bản phạm vi quét</x:v>
      </x:c>
      <x:c r="E9" s="32" t="n">
        <x:f>COUNTA('scope_revision'!A6:A8)</x:f>
        <x:v>3</x:v>
      </x:c>
    </x:row>
    <x:row r="10" ht="15" hidden="0" customHeight="1">
      <x:c r="A10" s="20" t="n">
        <x:v>5</x:v>
      </x:c>
      <x:c r="B10" s="20" t="str">
        <x:v>asset_scope_rule</x:v>
      </x:c>
      <x:c r="C10" s="20" t="str">
        <x:v>scope_rule</x:v>
      </x:c>
      <x:c r="D10" s="20" t="str">
        <x:v>Luật include và exclude</x:v>
      </x:c>
      <x:c r="E10" s="32" t="n">
        <x:f>COUNTA('scope_rule'!A6:A12)</x:f>
        <x:v>7</x:v>
      </x:c>
    </x:row>
    <x:row r="11" ht="15" hidden="0" customHeight="1">
      <x:c r="A11" s="20" t="n">
        <x:v>6</x:v>
      </x:c>
      <x:c r="B11" s="20" t="str">
        <x:v>asset_scan_window</x:v>
      </x:c>
      <x:c r="C11" s="20" t="str">
        <x:v>scan_window</x:v>
      </x:c>
      <x:c r="D11" s="20" t="str">
        <x:v>Khung giờ được phép quét</x:v>
      </x:c>
      <x:c r="E11" s="32" t="n">
        <x:f>COUNTA('scan_window'!A6:A9)</x:f>
        <x:v>4</x:v>
      </x:c>
    </x:row>
    <x:row r="12" ht="15" hidden="0" customHeight="1">
      <x:c r="A12" s="20" t="n">
        <x:v>7</x:v>
      </x:c>
      <x:c r="B12" s="20" t="str">
        <x:v>zap_scan_profile</x:v>
      </x:c>
      <x:c r="C12" s="20" t="str">
        <x:v>zap_profile</x:v>
      </x:c>
      <x:c r="D12" s="20" t="str">
        <x:v>Hồ sơ cấu hình OWASP ZAP</x:v>
      </x:c>
      <x:c r="E12" s="32" t="n">
        <x:f>COUNTA('zap_profile'!A6:A7)</x:f>
        <x:v>2</x:v>
      </x:c>
    </x:row>
    <x:row r="13" ht="15" hidden="0" customHeight="1">
      <x:c r="A13" s="20" t="n">
        <x:v>8</x:v>
      </x:c>
      <x:c r="B13" s="20" t="str">
        <x:v>scan_plan</x:v>
      </x:c>
      <x:c r="C13" s="20" t="str">
        <x:v>scan_plan</x:v>
      </x:c>
      <x:c r="D13" s="20" t="str">
        <x:v>Kế hoạch định kỳ hoặc xác minh</x:v>
      </x:c>
      <x:c r="E13" s="32" t="n">
        <x:f>COUNTA('scan_plan'!A6:A8)</x:f>
        <x:v>3</x:v>
      </x:c>
    </x:row>
    <x:row r="14" ht="15" hidden="0" customHeight="1">
      <x:c r="A14" s="20" t="n">
        <x:v>9</x:v>
      </x:c>
      <x:c r="B14" s="20" t="str">
        <x:v>scan_run</x:v>
      </x:c>
      <x:c r="C14" s="20" t="str">
        <x:v>scan_run</x:v>
      </x:c>
      <x:c r="D14" s="20" t="str">
        <x:v>Từng lần chạy và báo cáo nguồn</x:v>
      </x:c>
      <x:c r="E14" s="32" t="n">
        <x:f>COUNTA('scan_run'!A6:A10)</x:f>
        <x:v>5</x:v>
      </x:c>
    </x:row>
    <x:row r="15" ht="15" hidden="0" customHeight="1">
      <x:c r="A15" s="20" t="n">
        <x:v>10</x:v>
      </x:c>
      <x:c r="B15" s="20" t="str">
        <x:v>finding</x:v>
      </x:c>
      <x:c r="C15" s="20" t="str">
        <x:v>finding</x:v>
      </x:c>
      <x:c r="D15" s="20" t="str">
        <x:v>Phát hiện chuẩn hóa</x:v>
      </x:c>
      <x:c r="E15" s="32" t="n">
        <x:f>COUNTA('finding'!A6:A9)</x:f>
        <x:v>4</x:v>
      </x:c>
    </x:row>
    <x:row r="16" ht="15" hidden="0" customHeight="1">
      <x:c r="A16" s="20" t="n">
        <x:v>11</x:v>
      </x:c>
      <x:c r="B16" s="20" t="str">
        <x:v>finding_occurrence</x:v>
      </x:c>
      <x:c r="C16" s="20" t="str">
        <x:v>finding_occ</x:v>
      </x:c>
      <x:c r="D16" s="20" t="str">
        <x:v>Lần xuất hiện của phát hiện</x:v>
      </x:c>
      <x:c r="E16" s="32" t="n">
        <x:f>COUNTA('finding_occ'!A6:A9)</x:f>
        <x:v>4</x:v>
      </x:c>
    </x:row>
    <x:row r="17" ht="15" hidden="0" customHeight="1">
      <x:c r="A17" s="20" t="n">
        <x:v>12</x:v>
      </x:c>
      <x:c r="B17" s="20" t="str">
        <x:v>remediation_ticket</x:v>
      </x:c>
      <x:c r="C17" s="20" t="str">
        <x:v>remediation</x:v>
      </x:c>
      <x:c r="D17" s="20" t="str">
        <x:v>Phân công và theo dõi khắc phục</x:v>
      </x:c>
      <x:c r="E17" s="32" t="n">
        <x:f>COUNTA('remediation'!A6:A8)</x:f>
        <x:v>3</x:v>
      </x:c>
    </x:row>
    <x:row r="18" ht="15" hidden="0" customHeight="1">
      <x:c r="A18" s="20" t="n">
        <x:v>13</x:v>
      </x:c>
      <x:c r="B18" s="20" t="str">
        <x:v>audit_log</x:v>
      </x:c>
      <x:c r="C18" s="20" t="str">
        <x:v>audit_log</x:v>
      </x:c>
      <x:c r="D18" s="20" t="str">
        <x:v>Nhật ký bảo mật và lịch sử thay đổi</x:v>
      </x:c>
      <x:c r="E18" s="32" t="n">
        <x:f>COUNTA('audit_log'!A6:A11)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4d91ee72e4dc4246"/>
  </x:tableParts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4" hidden="0" customWidth="1"/>
    <x:col min="5" max="5" width="27" hidden="0" customWidth="1"/>
    <x:col min="6" max="6" width="11" hidden="0" customWidth="1"/>
    <x:col min="7" max="7" width="34" hidden="0" customWidth="1"/>
  </x:cols>
  <x:sheetData>
    <x:row r="2">
      <x:c r="A2" s="3" t="str">
        <x:v>app_user — người dùng và tài khoản dịch vụ</x:v>
      </x:c>
      <x:c r="B2" s="4"/>
      <x:c r="C2" s="4"/>
      <x:c r="D2" s="4"/>
      <x:c r="E2" s="4"/>
      <x:c r="F2" s="4"/>
      <x:c r="G2" s="4"/>
    </x:row>
    <x:row r="3">
      <x:c r="A3" s="2" t="str">
        <x:v>Vai trò được quản lý tại user_role. Tài khoản Service không đăng nhập giao diện.</x:v>
      </x:c>
      <x:c r="B3" s="2"/>
      <x:c r="C3" s="2"/>
      <x:c r="D3" s="2"/>
      <x:c r="E3" s="2"/>
      <x:c r="F3" s="2"/>
      <x:c r="G3" s="2"/>
    </x:row>
    <x:row r="5" ht="32" hidden="0" customHeight="1">
      <x:c r="A5" s="17" t="str">
        <x:v>id</x:v>
      </x:c>
      <x:c r="B5" s="18" t="str">
        <x:v>username</x:v>
      </x:c>
      <x:c r="C5" s="18" t="str">
        <x:v>display_name</x:v>
      </x:c>
      <x:c r="D5" s="18" t="str">
        <x:v>account_kind</x:v>
      </x:c>
      <x:c r="E5" s="18" t="str">
        <x:v>password_hash</x:v>
      </x:c>
      <x:c r="F5" s="18" t="str">
        <x:v>is_active</x:v>
      </x:c>
      <x:c r="G5" s="19" t="str">
        <x:v>created_at</x:v>
      </x:c>
    </x:row>
    <x:row r="6" ht="15" hidden="0" customHeight="1">
      <x:c r="A6" s="22" t="n">
        <x:v>1</x:v>
      </x:c>
      <x:c r="B6" s="22" t="str">
        <x:v>admin01</x:v>
      </x:c>
      <x:c r="C6" s="22" t="str">
        <x:v>Nguyễn Văn Admin</x:v>
      </x:c>
      <x:c r="D6" s="22" t="str">
        <x:v>Human</x:v>
      </x:c>
      <x:c r="E6" s="22" t="str">
        <x:v>$2b$12$sample-admin-hash</x:v>
      </x:c>
      <x:c r="F6" s="23" t="b">
        <x:v>1</x:v>
      </x:c>
      <x:c r="G6" s="24" t="n">
        <x:v>46024.041666666664</x:v>
      </x:c>
    </x:row>
    <x:row r="7" ht="15" hidden="0" customHeight="1">
      <x:c r="A7" s="22" t="n">
        <x:v>2</x:v>
      </x:c>
      <x:c r="B7" s="22" t="str">
        <x:v>owner.shop</x:v>
      </x:c>
      <x:c r="C7" s="22" t="str">
        <x:v>Trần Quốc Bình</x:v>
      </x:c>
      <x:c r="D7" s="22" t="str">
        <x:v>Human</x:v>
      </x:c>
      <x:c r="E7" s="22" t="str">
        <x:v>$2b$12$sample-owner-hash</x:v>
      </x:c>
      <x:c r="F7" s="23" t="b">
        <x:v>1</x:v>
      </x:c>
      <x:c r="G7" s="24" t="n">
        <x:v>46024.04513888889</x:v>
      </x:c>
    </x:row>
    <x:row r="8" ht="15" hidden="0" customHeight="1">
      <x:c r="A8" s="22" t="n">
        <x:v>3</x:v>
      </x:c>
      <x:c r="B8" s="22" t="str">
        <x:v>security.an</x:v>
      </x:c>
      <x:c r="C8" s="22" t="str">
        <x:v>Nguyễn Hoàng An</x:v>
      </x:c>
      <x:c r="D8" s="22" t="str">
        <x:v>Human</x:v>
      </x:c>
      <x:c r="E8" s="22" t="str">
        <x:v>$2b$12$sample-attt-hash</x:v>
      </x:c>
      <x:c r="F8" s="23" t="b">
        <x:v>1</x:v>
      </x:c>
      <x:c r="G8" s="24" t="n">
        <x:v>46024.04861111111</x:v>
      </x:c>
    </x:row>
    <x:row r="9" ht="15" hidden="0" customHeight="1">
      <x:c r="A9" s="22" t="n">
        <x:v>4</x:v>
      </x:c>
      <x:c r="B9" s="22" t="str">
        <x:v>operator.ha</x:v>
      </x:c>
      <x:c r="C9" s="22" t="str">
        <x:v>Vũ Thanh Hà</x:v>
      </x:c>
      <x:c r="D9" s="22" t="str">
        <x:v>Human</x:v>
      </x:c>
      <x:c r="E9" s="22" t="str">
        <x:v>$2b$12$sample-ops-hash</x:v>
      </x:c>
      <x:c r="F9" s="23" t="b">
        <x:v>1</x:v>
      </x:c>
      <x:c r="G9" s="24" t="n">
        <x:v>46024.052083333336</x:v>
      </x:c>
    </x:row>
    <x:row r="10" ht="15" hidden="0" customHeight="1">
      <x:c r="A10" s="22" t="n">
        <x:v>5</x:v>
      </x:c>
      <x:c r="B10" s="22" t="str">
        <x:v>remediator.cuong</x:v>
      </x:c>
      <x:c r="C10" s="22" t="str">
        <x:v>Lê Minh Cường</x:v>
      </x:c>
      <x:c r="D10" s="22" t="str">
        <x:v>Human</x:v>
      </x:c>
      <x:c r="E10" s="22" t="str">
        <x:v>$2b$12$sample-fix-hash</x:v>
      </x:c>
      <x:c r="F10" s="23" t="b">
        <x:v>1</x:v>
      </x:c>
      <x:c r="G10" s="24" t="n">
        <x:v>46024.055555555555</x:v>
      </x:c>
    </x:row>
    <x:row r="11" ht="15" hidden="0" customHeight="1">
      <x:c r="A11" s="22" t="n">
        <x:v>6</x:v>
      </x:c>
      <x:c r="B11" s="22" t="str">
        <x:v>auditor.lan</x:v>
      </x:c>
      <x:c r="C11" s="22" t="str">
        <x:v>Đặng Ngọc Lan</x:v>
      </x:c>
      <x:c r="D11" s="22" t="str">
        <x:v>Human</x:v>
      </x:c>
      <x:c r="E11" s="22" t="str">
        <x:v>$2b$12$sample-audit-hash</x:v>
      </x:c>
      <x:c r="F11" s="23" t="b">
        <x:v>1</x:v>
      </x:c>
      <x:c r="G11" s="24" t="n">
        <x:v>46024.05902777778</x:v>
      </x:c>
    </x:row>
    <x:row r="12" ht="15" hidden="0" customHeight="1">
      <x:c r="A12" s="22" t="n">
        <x:v>7</x:v>
      </x:c>
      <x:c r="B12" s="22" t="str">
        <x:v>svc.zap</x:v>
      </x:c>
      <x:c r="C12" s="22" t="str">
        <x:v>Tài khoản tích hợp ZAP</x:v>
      </x:c>
      <x:c r="D12" s="22" t="str">
        <x:v>Service</x:v>
      </x:c>
      <x:c r="E12" s="22"/>
      <x:c r="F12" s="23" t="b">
        <x:v>1</x:v>
      </x:c>
      <x:c r="G12" s="24" t="n">
        <x:v>46024.0625</x:v>
      </x:c>
    </x:row>
    <x:row r="13" ht="15" hidden="0" customHeight="1">
      <x:c r="A13" s="22" t="n">
        <x:v>8</x:v>
      </x:c>
      <x:c r="B13" s="22" t="str">
        <x:v>owner.portal</x:v>
      </x:c>
      <x:c r="C13" s="22" t="str">
        <x:v>Phạm Thu Trang</x:v>
      </x:c>
      <x:c r="D13" s="22" t="str">
        <x:v>Human</x:v>
      </x:c>
      <x:c r="E13" s="22" t="str">
        <x:v>$2b$12$sample-owner2-hash</x:v>
      </x:c>
      <x:c r="F13" s="23" t="b">
        <x:v>1</x:v>
      </x:c>
      <x:c r="G13" s="24" t="n">
        <x:v>46024.06597222222</x:v>
      </x:c>
    </x:row>
  </x:sheetData>
  <x:pageMargins left="0.7" right="0.7" top="0.75" bottom="0.75" header="0.3" footer="0.3"/>
  <x:tableParts count="1">
    <x:tablePart xmlns:r="http://schemas.openxmlformats.org/officeDocument/2006/relationships" r:id="R8bd4f32a6d514752"/>
  </x:tableParts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12" hidden="0" customWidth="1"/>
    <x:col min="6" max="6" width="34" hidden="0" customWidth="1"/>
    <x:col min="7" max="7" width="12" hidden="0" customWidth="1"/>
    <x:col min="8" max="8" width="12" hidden="0" customWidth="1"/>
  </x:cols>
  <x:sheetData>
    <x:row r="2">
      <x:c r="A2" s="3" t="str">
        <x:v>user_role — vai trò theo người dùng và tài sản</x:v>
      </x:c>
      <x:c r="B2" s="4"/>
      <x:c r="C2" s="4"/>
      <x:c r="D2" s="4"/>
      <x:c r="E2" s="4"/>
      <x:c r="F2" s="4"/>
      <x:c r="G2" s="4"/>
      <x:c r="H2" s="4"/>
    </x:row>
    <x:row r="3">
      <x:c r="A3" s="2" t="str">
        <x:v>asset_id để trống chỉ với ADMIN. Quyền bị thu hồi vẫn được giữ lại bằng revoked_at.</x:v>
      </x:c>
      <x:c r="B3" s="2"/>
      <x:c r="C3" s="2"/>
      <x:c r="D3" s="2"/>
      <x:c r="E3" s="2"/>
      <x:c r="F3" s="2"/>
      <x:c r="G3" s="2"/>
      <x:c r="H3" s="2"/>
    </x:row>
    <x:row r="5" ht="32" hidden="0" customHeight="1">
      <x:c r="A5" s="17" t="str">
        <x:v>id</x:v>
      </x:c>
      <x:c r="B5" s="18" t="str">
        <x:v>user_id</x:v>
      </x:c>
      <x:c r="C5" s="18" t="str">
        <x:v>role_code</x:v>
      </x:c>
      <x:c r="D5" s="18" t="str">
        <x:v>asset_id</x:v>
      </x:c>
      <x:c r="E5" s="18" t="str">
        <x:v>granted_by</x:v>
      </x:c>
      <x:c r="F5" s="18" t="str">
        <x:v>granted_at</x:v>
      </x:c>
      <x:c r="G5" s="18" t="str">
        <x:v>revoked_by</x:v>
      </x:c>
      <x:c r="H5" s="19" t="str">
        <x:v>revoked_at</x:v>
      </x:c>
    </x:row>
    <x:row r="6" ht="15" hidden="0" customHeight="1">
      <x:c r="A6" s="22" t="n">
        <x:v>201</x:v>
      </x:c>
      <x:c r="B6" s="22" t="n">
        <x:v>1</x:v>
      </x:c>
      <x:c r="C6" s="22" t="str">
        <x:v>ADMIN</x:v>
      </x:c>
      <x:c r="D6" s="22"/>
      <x:c r="E6" s="22" t="n">
        <x:v>1</x:v>
      </x:c>
      <x:c r="F6" s="24" t="n">
        <x:v>46024.083333333336</x:v>
      </x:c>
      <x:c r="G6" s="22"/>
      <x:c r="H6" s="24"/>
    </x:row>
    <x:row r="7" ht="15" hidden="0" customHeight="1">
      <x:c r="A7" s="22" t="n">
        <x:v>202</x:v>
      </x:c>
      <x:c r="B7" s="22" t="n">
        <x:v>3</x:v>
      </x:c>
      <x:c r="C7" s="22" t="str">
        <x:v>SECURITY</x:v>
      </x:c>
      <x:c r="D7" s="22" t="n">
        <x:v>101</x:v>
      </x:c>
      <x:c r="E7" s="22" t="n">
        <x:v>1</x:v>
      </x:c>
      <x:c r="F7" s="24" t="n">
        <x:v>46027.125</x:v>
      </x:c>
      <x:c r="G7" s="22"/>
      <x:c r="H7" s="24"/>
    </x:row>
    <x:row r="8" ht="15" hidden="0" customHeight="1">
      <x:c r="A8" s="22" t="n">
        <x:v>203</x:v>
      </x:c>
      <x:c r="B8" s="22" t="n">
        <x:v>3</x:v>
      </x:c>
      <x:c r="C8" s="22" t="str">
        <x:v>SECURITY</x:v>
      </x:c>
      <x:c r="D8" s="22" t="n">
        <x:v>102</x:v>
      </x:c>
      <x:c r="E8" s="22" t="n">
        <x:v>1</x:v>
      </x:c>
      <x:c r="F8" s="24" t="n">
        <x:v>46028.125</x:v>
      </x:c>
      <x:c r="G8" s="22"/>
      <x:c r="H8" s="24"/>
    </x:row>
    <x:row r="9" ht="15" hidden="0" customHeight="1">
      <x:c r="A9" s="22" t="n">
        <x:v>204</x:v>
      </x:c>
      <x:c r="B9" s="22" t="n">
        <x:v>3</x:v>
      </x:c>
      <x:c r="C9" s="22" t="str">
        <x:v>SECURITY</x:v>
      </x:c>
      <x:c r="D9" s="22" t="n">
        <x:v>103</x:v>
      </x:c>
      <x:c r="E9" s="22" t="n">
        <x:v>1</x:v>
      </x:c>
      <x:c r="F9" s="24" t="n">
        <x:v>46029.125</x:v>
      </x:c>
      <x:c r="G9" s="22"/>
      <x:c r="H9" s="24"/>
    </x:row>
    <x:row r="10" ht="15" hidden="0" customHeight="1">
      <x:c r="A10" s="22" t="n">
        <x:v>205</x:v>
      </x:c>
      <x:c r="B10" s="22" t="n">
        <x:v>4</x:v>
      </x:c>
      <x:c r="C10" s="22" t="str">
        <x:v>SCAN_OPERATOR</x:v>
      </x:c>
      <x:c r="D10" s="22" t="n">
        <x:v>101</x:v>
      </x:c>
      <x:c r="E10" s="22" t="n">
        <x:v>1</x:v>
      </x:c>
      <x:c r="F10" s="24" t="n">
        <x:v>46027.12847222222</x:v>
      </x:c>
      <x:c r="G10" s="22"/>
      <x:c r="H10" s="24"/>
    </x:row>
    <x:row r="11" ht="15" hidden="0" customHeight="1">
      <x:c r="A11" s="22" t="n">
        <x:v>206</x:v>
      </x:c>
      <x:c r="B11" s="22" t="n">
        <x:v>4</x:v>
      </x:c>
      <x:c r="C11" s="22" t="str">
        <x:v>SCAN_OPERATOR</x:v>
      </x:c>
      <x:c r="D11" s="22" t="n">
        <x:v>102</x:v>
      </x:c>
      <x:c r="E11" s="22" t="n">
        <x:v>1</x:v>
      </x:c>
      <x:c r="F11" s="24" t="n">
        <x:v>46028.12847222222</x:v>
      </x:c>
      <x:c r="G11" s="22"/>
      <x:c r="H11" s="24"/>
    </x:row>
    <x:row r="12" ht="15" hidden="0" customHeight="1">
      <x:c r="A12" s="22" t="n">
        <x:v>207</x:v>
      </x:c>
      <x:c r="B12" s="22" t="n">
        <x:v>5</x:v>
      </x:c>
      <x:c r="C12" s="22" t="str">
        <x:v>REMEDIATOR</x:v>
      </x:c>
      <x:c r="D12" s="22" t="n">
        <x:v>101</x:v>
      </x:c>
      <x:c r="E12" s="22" t="n">
        <x:v>1</x:v>
      </x:c>
      <x:c r="F12" s="24" t="n">
        <x:v>46027.131944444445</x:v>
      </x:c>
      <x:c r="G12" s="22"/>
      <x:c r="H12" s="24"/>
    </x:row>
    <x:row r="13" ht="15" hidden="0" customHeight="1">
      <x:c r="A13" s="22" t="n">
        <x:v>208</x:v>
      </x:c>
      <x:c r="B13" s="22" t="n">
        <x:v>5</x:v>
      </x:c>
      <x:c r="C13" s="22" t="str">
        <x:v>REMEDIATOR</x:v>
      </x:c>
      <x:c r="D13" s="22" t="n">
        <x:v>102</x:v>
      </x:c>
      <x:c r="E13" s="22" t="n">
        <x:v>1</x:v>
      </x:c>
      <x:c r="F13" s="24" t="n">
        <x:v>46028.131944444445</x:v>
      </x:c>
      <x:c r="G13" s="22"/>
      <x:c r="H13" s="24"/>
    </x:row>
    <x:row r="14" ht="15" hidden="0" customHeight="1">
      <x:c r="A14" s="22" t="n">
        <x:v>209</x:v>
      </x:c>
      <x:c r="B14" s="22" t="n">
        <x:v>6</x:v>
      </x:c>
      <x:c r="C14" s="22" t="str">
        <x:v>AUDITOR</x:v>
      </x:c>
      <x:c r="D14" s="22" t="n">
        <x:v>101</x:v>
      </x:c>
      <x:c r="E14" s="22" t="n">
        <x:v>1</x:v>
      </x:c>
      <x:c r="F14" s="24" t="n">
        <x:v>46027.135416666664</x:v>
      </x:c>
      <x:c r="G14" s="22"/>
      <x:c r="H14" s="24"/>
    </x:row>
    <x:row r="15" ht="15" hidden="0" customHeight="1">
      <x:c r="A15" s="22" t="n">
        <x:v>210</x:v>
      </x:c>
      <x:c r="B15" s="22" t="n">
        <x:v>6</x:v>
      </x:c>
      <x:c r="C15" s="22" t="str">
        <x:v>AUDITOR</x:v>
      </x:c>
      <x:c r="D15" s="22" t="n">
        <x:v>102</x:v>
      </x:c>
      <x:c r="E15" s="22" t="n">
        <x:v>1</x:v>
      </x:c>
      <x:c r="F15" s="24" t="n">
        <x:v>46028.135416666664</x:v>
      </x:c>
      <x:c r="G15" s="22"/>
      <x:c r="H15" s="24"/>
    </x:row>
  </x:sheetData>
  <x:pageMargins left="0.7" right="0.7" top="0.75" bottom="0.75" header="0.3" footer="0.3"/>
  <x:tableParts count="1">
    <x:tablePart xmlns:r="http://schemas.openxmlformats.org/officeDocument/2006/relationships" r:id="R6210f7879a574175"/>
  </x:tableParts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7" hidden="0" customWidth="1"/>
    <x:col min="4" max="4" width="30" hidden="0" customWidth="1"/>
    <x:col min="5" max="5" width="13" hidden="0" customWidth="1"/>
    <x:col min="6" max="6" width="12" hidden="0" customWidth="1"/>
    <x:col min="7" max="7" width="12" hidden="0" customWidth="1"/>
    <x:col min="8" max="8" width="13" hidden="0" customWidth="1"/>
    <x:col min="9" max="9" width="21" hidden="0" customWidth="1"/>
    <x:col min="10" max="10" width="18" hidden="0" customWidth="1"/>
    <x:col min="11" max="11" width="11" hidden="0" customWidth="1"/>
    <x:col min="12" max="12" width="12" hidden="0" customWidth="1"/>
    <x:col min="13" max="13" width="34" hidden="0" customWidth="1"/>
    <x:col min="14" max="14" width="34" hidden="0" customWidth="1"/>
  </x:cols>
  <x:sheetData>
    <x:row r="2">
      <x:c r="A2" s="3" t="str">
        <x:v>asset — tài sản website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2" t="str">
        <x:v>owner_id là chủ sở hữu chính; security_officer_id là chuyên viên ATTT phụ trách.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 ht="32" hidden="0" customHeight="1">
      <x:c r="A5" s="17" t="str">
        <x:v>id</x:v>
      </x:c>
      <x:c r="B5" s="18" t="str">
        <x:v>code</x:v>
      </x:c>
      <x:c r="C5" s="18" t="str">
        <x:v>name</x:v>
      </x:c>
      <x:c r="D5" s="18" t="str">
        <x:v>base_url</x:v>
      </x:c>
      <x:c r="E5" s="18" t="str">
        <x:v>environment</x:v>
      </x:c>
      <x:c r="F5" s="18" t="str">
        <x:v>owner_id</x:v>
      </x:c>
      <x:c r="G5" s="18" t="str">
        <x:v>security_officer_id</x:v>
      </x:c>
      <x:c r="H5" s="18" t="str">
        <x:v>criticality</x:v>
      </x:c>
      <x:c r="I5" s="18" t="str">
        <x:v>data_classification</x:v>
      </x:c>
      <x:c r="J5" s="18" t="str">
        <x:v>internet_exposed</x:v>
      </x:c>
      <x:c r="K5" s="18" t="str">
        <x:v>status</x:v>
      </x:c>
      <x:c r="L5" s="18" t="str">
        <x:v>created_by</x:v>
      </x:c>
      <x:c r="M5" s="18" t="str">
        <x:v>created_at</x:v>
      </x:c>
      <x:c r="N5" s="19" t="str">
        <x:v>updated_at</x:v>
      </x:c>
    </x:row>
    <x:row r="6" ht="15" hidden="0" customHeight="1">
      <x:c r="A6" s="22" t="n">
        <x:v>101</x:v>
      </x:c>
      <x:c r="B6" s="22" t="str">
        <x:v>ASSET-SHOP</x:v>
      </x:c>
      <x:c r="C6" s="22" t="str">
        <x:v>Website bán hàng</x:v>
      </x:c>
      <x:c r="D6" s="22" t="str">
        <x:v>https://shop.example.vn</x:v>
      </x:c>
      <x:c r="E6" s="22" t="str">
        <x:v>Production</x:v>
      </x:c>
      <x:c r="F6" s="22" t="n">
        <x:v>2</x:v>
      </x:c>
      <x:c r="G6" s="22" t="n">
        <x:v>3</x:v>
      </x:c>
      <x:c r="H6" s="22" t="str">
        <x:v>Critical</x:v>
      </x:c>
      <x:c r="I6" s="22" t="str">
        <x:v>Confidential</x:v>
      </x:c>
      <x:c r="J6" s="23" t="b">
        <x:v>1</x:v>
      </x:c>
      <x:c r="K6" s="22" t="str">
        <x:v>Active</x:v>
      </x:c>
      <x:c r="L6" s="22" t="n">
        <x:v>2</x:v>
      </x:c>
      <x:c r="M6" s="24" t="n">
        <x:v>46027.083333333336</x:v>
      </x:c>
      <x:c r="N6" s="24" t="n">
        <x:v>46254.125</x:v>
      </x:c>
    </x:row>
    <x:row r="7" ht="15" hidden="0" customHeight="1">
      <x:c r="A7" s="22" t="n">
        <x:v>102</x:v>
      </x:c>
      <x:c r="B7" s="22" t="str">
        <x:v>ASSET-PORTAL</x:v>
      </x:c>
      <x:c r="C7" s="22" t="str">
        <x:v>Cổng thông tin khách hàng</x:v>
      </x:c>
      <x:c r="D7" s="22" t="str">
        <x:v>https://portal.example.vn</x:v>
      </x:c>
      <x:c r="E7" s="22" t="str">
        <x:v>Production</x:v>
      </x:c>
      <x:c r="F7" s="22" t="n">
        <x:v>8</x:v>
      </x:c>
      <x:c r="G7" s="22" t="n">
        <x:v>3</x:v>
      </x:c>
      <x:c r="H7" s="22" t="str">
        <x:v>High</x:v>
      </x:c>
      <x:c r="I7" s="22" t="str">
        <x:v>Internal</x:v>
      </x:c>
      <x:c r="J7" s="23" t="b">
        <x:v>1</x:v>
      </x:c>
      <x:c r="K7" s="22" t="str">
        <x:v>Active</x:v>
      </x:c>
      <x:c r="L7" s="22" t="n">
        <x:v>8</x:v>
      </x:c>
      <x:c r="M7" s="24" t="n">
        <x:v>46028.083333333336</x:v>
      </x:c>
      <x:c r="N7" s="24" t="n">
        <x:v>46255.125</x:v>
      </x:c>
    </x:row>
    <x:row r="8" ht="15" hidden="0" customHeight="1">
      <x:c r="A8" s="22" t="n">
        <x:v>103</x:v>
      </x:c>
      <x:c r="B8" s="22" t="str">
        <x:v>ASSET-INTRANET</x:v>
      </x:c>
      <x:c r="C8" s="22" t="str">
        <x:v>Cổng nội bộ</x:v>
      </x:c>
      <x:c r="D8" s="22" t="str">
        <x:v>https://intranet.example.vn</x:v>
      </x:c>
      <x:c r="E8" s="22" t="str">
        <x:v>Staging</x:v>
      </x:c>
      <x:c r="F8" s="22" t="n">
        <x:v>2</x:v>
      </x:c>
      <x:c r="G8" s="22" t="n">
        <x:v>3</x:v>
      </x:c>
      <x:c r="H8" s="22" t="str">
        <x:v>Medium</x:v>
      </x:c>
      <x:c r="I8" s="22" t="str">
        <x:v>Internal</x:v>
      </x:c>
      <x:c r="J8" s="23" t="b">
        <x:v>0</x:v>
      </x:c>
      <x:c r="K8" s="22" t="str">
        <x:v>Suspended</x:v>
      </x:c>
      <x:c r="L8" s="22" t="n">
        <x:v>2</x:v>
      </x:c>
      <x:c r="M8" s="24" t="n">
        <x:v>46029.083333333336</x:v>
      </x:c>
      <x:c r="N8" s="24" t="n">
        <x:v>46275.125</x:v>
      </x:c>
    </x:row>
  </x:sheetData>
  <x:conditionalFormatting sqref="K6:K8">
    <x:cfRule type="containsText" dxfId="0" priority="1" operator="containsText" text="Active"/>
    <x:cfRule type="containsText" dxfId="1" priority="2" operator="containsText" text="Approved"/>
    <x:cfRule type="containsText" dxfId="2" priority="3" operator="containsText" text="Completed"/>
    <x:cfRule type="containsText" dxfId="3" priority="4" operator="containsText" text="Processed"/>
    <x:cfRule type="containsText" dxfId="4" priority="5" operator="containsText" text="Closed"/>
    <x:cfRule type="containsText" dxfId="5" priority="6" operator="containsText" text="Success"/>
    <x:cfRule type="containsText" dxfId="6" priority="7" operator="containsText" text="Include"/>
    <x:cfRule type="containsText" dxfId="7" priority="8" operator="containsText" text="Failed"/>
    <x:cfRule type="containsText" dxfId="8" priority="9" operator="containsText" text="Failure"/>
    <x:cfRule type="containsText" dxfId="9" priority="10" operator="containsText" text="Critical"/>
    <x:cfRule type="containsText" dxfId="10" priority="11" operator="containsText" text="Rejected"/>
    <x:cfRule type="containsText" dxfId="11" priority="12" operator="containsText" text="Exclude"/>
    <x:cfRule type="containsText" dxfId="12" priority="13" operator="containsText" text="Suspended"/>
    <x:cfRule type="containsText" dxfId="13" priority="14" operator="containsText" text="Running"/>
    <x:cfRule type="containsText" dxfId="14" priority="15" operator="containsText" text="In Progress"/>
    <x:cfRule type="containsText" dxfId="15" priority="16" operator="containsText" text="High"/>
    <x:cfRule type="containsText" dxfId="16" priority="17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01f1b6672d8a4929"/>
  </x:tableParts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30" hidden="0" customWidth="1"/>
    <x:col min="6" max="6" width="12" hidden="0" customWidth="1"/>
    <x:col min="7" max="7" width="34" hidden="0" customWidth="1"/>
    <x:col min="8" max="8" width="14" hidden="0" customWidth="1"/>
    <x:col min="9" max="9" width="34" hidden="0" customWidth="1"/>
    <x:col min="10" max="10" width="12" hidden="0" customWidth="1"/>
    <x:col min="11" max="11" width="34" hidden="0" customWidth="1"/>
    <x:col min="12" max="12" width="30" hidden="0" customWidth="1"/>
    <x:col min="13" max="13" width="34" hidden="0" customWidth="1"/>
    <x:col min="14" max="14" width="17" hidden="0" customWidth="1"/>
  </x:cols>
  <x:sheetData>
    <x:row r="2">
      <x:c r="A2" s="3" t="str">
        <x:v>asset_scope_revision — phiên bản phạm vi quét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2" t="str">
        <x:v>Phiên bản Approved là bất biến. Các khoảng hiệu lực của cùng tài sản không được chồng lấn.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 ht="32" hidden="0" customHeight="1">
      <x:c r="A5" s="17" t="str">
        <x:v>id</x:v>
      </x:c>
      <x:c r="B5" s="18" t="str">
        <x:v>asset_id</x:v>
      </x:c>
      <x:c r="C5" s="18" t="str">
        <x:v>version_no</x:v>
      </x:c>
      <x:c r="D5" s="18" t="str">
        <x:v>status</x:v>
      </x:c>
      <x:c r="E5" s="18" t="str">
        <x:v>change_reason</x:v>
      </x:c>
      <x:c r="F5" s="18" t="str">
        <x:v>created_by</x:v>
      </x:c>
      <x:c r="G5" s="18" t="str">
        <x:v>created_at</x:v>
      </x:c>
      <x:c r="H5" s="18" t="str">
        <x:v>confirmed_by</x:v>
      </x:c>
      <x:c r="I5" s="18" t="str">
        <x:v>confirmed_at</x:v>
      </x:c>
      <x:c r="J5" s="18" t="str">
        <x:v>decided_by</x:v>
      </x:c>
      <x:c r="K5" s="18" t="str">
        <x:v>decided_at</x:v>
      </x:c>
      <x:c r="L5" s="18" t="str">
        <x:v>decision_reason</x:v>
      </x:c>
      <x:c r="M5" s="18" t="str">
        <x:v>effective_from</x:v>
      </x:c>
      <x:c r="N5" s="19" t="str">
        <x:v>effective_until</x:v>
      </x:c>
    </x:row>
    <x:row r="6" ht="15" hidden="0" customHeight="1">
      <x:c r="A6" s="22" t="n">
        <x:v>1001</x:v>
      </x:c>
      <x:c r="B6" s="22" t="n">
        <x:v>101</x:v>
      </x:c>
      <x:c r="C6" s="22" t="n">
        <x:v>1</x:v>
      </x:c>
      <x:c r="D6" s="22" t="str">
        <x:v>Approved</x:v>
      </x:c>
      <x:c r="E6" s="25" t="str">
        <x:v>Phạm vi production ban đầu</x:v>
      </x:c>
      <x:c r="F6" s="22" t="n">
        <x:v>2</x:v>
      </x:c>
      <x:c r="G6" s="24" t="n">
        <x:v>46027.166666666664</x:v>
      </x:c>
      <x:c r="H6" s="22" t="n">
        <x:v>2</x:v>
      </x:c>
      <x:c r="I6" s="24" t="n">
        <x:v>46027.208333333336</x:v>
      </x:c>
      <x:c r="J6" s="22" t="n">
        <x:v>3</x:v>
      </x:c>
      <x:c r="K6" s="24" t="n">
        <x:v>46027.25</x:v>
      </x:c>
      <x:c r="L6" s="25" t="str">
        <x:v>Đúng domain và khung giờ</x:v>
      </x:c>
      <x:c r="M6" s="24" t="n">
        <x:v>46028</x:v>
      </x:c>
      <x:c r="N6" s="24"/>
    </x:row>
    <x:row r="7" ht="24" hidden="0" customHeight="1">
      <x:c r="A7" s="22" t="n">
        <x:v>1002</x:v>
      </x:c>
      <x:c r="B7" s="22" t="n">
        <x:v>102</x:v>
      </x:c>
      <x:c r="C7" s="22" t="n">
        <x:v>1</x:v>
      </x:c>
      <x:c r="D7" s="22" t="str">
        <x:v>Approved</x:v>
      </x:c>
      <x:c r="E7" s="25" t="str">
        <x:v>Phạm vi cổng khách hàng</x:v>
      </x:c>
      <x:c r="F7" s="22" t="n">
        <x:v>8</x:v>
      </x:c>
      <x:c r="G7" s="24" t="n">
        <x:v>46028.166666666664</x:v>
      </x:c>
      <x:c r="H7" s="22" t="n">
        <x:v>8</x:v>
      </x:c>
      <x:c r="I7" s="24" t="n">
        <x:v>46028.208333333336</x:v>
      </x:c>
      <x:c r="J7" s="22" t="n">
        <x:v>3</x:v>
      </x:c>
      <x:c r="K7" s="24" t="n">
        <x:v>46028.25</x:v>
      </x:c>
      <x:c r="L7" s="25" t="str">
        <x:v>Cho phép passive và active scan giới hạn</x:v>
      </x:c>
      <x:c r="M7" s="24" t="n">
        <x:v>46029</x:v>
      </x:c>
      <x:c r="N7" s="24"/>
    </x:row>
    <x:row r="8" ht="15" hidden="0" customHeight="1">
      <x:c r="A8" s="22" t="n">
        <x:v>1003</x:v>
      </x:c>
      <x:c r="B8" s="22" t="n">
        <x:v>103</x:v>
      </x:c>
      <x:c r="C8" s="22" t="n">
        <x:v>1</x:v>
      </x:c>
      <x:c r="D8" s="22" t="str">
        <x:v>Approved</x:v>
      </x:c>
      <x:c r="E8" s="25" t="str">
        <x:v>Phạm vi staging nội bộ</x:v>
      </x:c>
      <x:c r="F8" s="22" t="n">
        <x:v>2</x:v>
      </x:c>
      <x:c r="G8" s="24" t="n">
        <x:v>46029.166666666664</x:v>
      </x:c>
      <x:c r="H8" s="22" t="n">
        <x:v>2</x:v>
      </x:c>
      <x:c r="I8" s="24" t="n">
        <x:v>46029.208333333336</x:v>
      </x:c>
      <x:c r="J8" s="22" t="n">
        <x:v>3</x:v>
      </x:c>
      <x:c r="K8" s="24" t="n">
        <x:v>46029.25</x:v>
      </x:c>
      <x:c r="L8" s="25" t="str">
        <x:v>Chỉ dùng khi tài sản được tiếp tục</x:v>
      </x:c>
      <x:c r="M8" s="24" t="n">
        <x:v>46030</x:v>
      </x:c>
      <x:c r="N8" s="24"/>
    </x:row>
  </x:sheetData>
  <x:conditionalFormatting sqref="D6:D8">
    <x:cfRule type="containsText" dxfId="17" priority="1" operator="containsText" text="Active"/>
    <x:cfRule type="containsText" dxfId="18" priority="2" operator="containsText" text="Approved"/>
    <x:cfRule type="containsText" dxfId="19" priority="3" operator="containsText" text="Completed"/>
    <x:cfRule type="containsText" dxfId="20" priority="4" operator="containsText" text="Processed"/>
    <x:cfRule type="containsText" dxfId="21" priority="5" operator="containsText" text="Closed"/>
    <x:cfRule type="containsText" dxfId="22" priority="6" operator="containsText" text="Success"/>
    <x:cfRule type="containsText" dxfId="23" priority="7" operator="containsText" text="Include"/>
    <x:cfRule type="containsText" dxfId="24" priority="8" operator="containsText" text="Failed"/>
    <x:cfRule type="containsText" dxfId="25" priority="9" operator="containsText" text="Failure"/>
    <x:cfRule type="containsText" dxfId="26" priority="10" operator="containsText" text="Critical"/>
    <x:cfRule type="containsText" dxfId="27" priority="11" operator="containsText" text="Rejected"/>
    <x:cfRule type="containsText" dxfId="28" priority="12" operator="containsText" text="Exclude"/>
    <x:cfRule type="containsText" dxfId="29" priority="13" operator="containsText" text="Suspended"/>
    <x:cfRule type="containsText" dxfId="30" priority="14" operator="containsText" text="Running"/>
    <x:cfRule type="containsText" dxfId="31" priority="15" operator="containsText" text="In Progress"/>
    <x:cfRule type="containsText" dxfId="32" priority="16" operator="containsText" text="High"/>
    <x:cfRule type="containsText" dxfId="33" priority="17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47b90d8955a444bf"/>
  </x:tableParts>
</x:worksheet>
</file>

<file path=xl/worksheets/sheet6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3" hidden="0" customWidth="1"/>
    <x:col min="5" max="5" width="34" hidden="0" customWidth="1"/>
    <x:col min="6" max="6" width="12" hidden="0" customWidth="1"/>
  </x:cols>
  <x:sheetData>
    <x:row r="2">
      <x:c r="A2" s="3" t="str">
        <x:v>asset_scope_rule — luật include và exclude</x:v>
      </x:c>
      <x:c r="B2" s="4"/>
      <x:c r="C2" s="4"/>
      <x:c r="D2" s="4"/>
      <x:c r="E2" s="4"/>
      <x:c r="F2" s="4"/>
    </x:row>
    <x:row r="3">
      <x:c r="A3" s="2" t="str">
        <x:v>Exclude được ưu tiên khi một mục tiêu đồng thời khớp cả Include và Exclude.</x:v>
      </x:c>
      <x:c r="B3" s="2"/>
      <x:c r="C3" s="2"/>
      <x:c r="D3" s="2"/>
      <x:c r="E3" s="2"/>
      <x:c r="F3" s="2"/>
    </x:row>
    <x:row r="5" ht="32" hidden="0" customHeight="1">
      <x:c r="A5" s="17" t="str">
        <x:v>id</x:v>
      </x:c>
      <x:c r="B5" s="18" t="str">
        <x:v>scope_id</x:v>
      </x:c>
      <x:c r="C5" s="18" t="str">
        <x:v>effect</x:v>
      </x:c>
      <x:c r="D5" s="18" t="str">
        <x:v>target_type</x:v>
      </x:c>
      <x:c r="E5" s="18" t="str">
        <x:v>target_value</x:v>
      </x:c>
      <x:c r="F5" s="19" t="str">
        <x:v>match_mode</x:v>
      </x:c>
    </x:row>
    <x:row r="6" ht="15" hidden="0" customHeight="1">
      <x:c r="A6" s="22" t="n">
        <x:v>1101</x:v>
      </x:c>
      <x:c r="B6" s="22" t="n">
        <x:v>1001</x:v>
      </x:c>
      <x:c r="C6" s="22" t="str">
        <x:v>Include</x:v>
      </x:c>
      <x:c r="D6" s="22" t="str">
        <x:v>Domain</x:v>
      </x:c>
      <x:c r="E6" s="25" t="str">
        <x:v>shop.example.vn</x:v>
      </x:c>
      <x:c r="F6" s="22" t="str">
        <x:v>Exact</x:v>
      </x:c>
    </x:row>
    <x:row r="7" ht="15" hidden="0" customHeight="1">
      <x:c r="A7" s="22" t="n">
        <x:v>1102</x:v>
      </x:c>
      <x:c r="B7" s="22" t="n">
        <x:v>1001</x:v>
      </x:c>
      <x:c r="C7" s="22" t="str">
        <x:v>Include</x:v>
      </x:c>
      <x:c r="D7" s="22" t="str">
        <x:v>URL</x:v>
      </x:c>
      <x:c r="E7" s="25" t="str">
        <x:v>https://shop.example.vn/api/</x:v>
      </x:c>
      <x:c r="F7" s="22" t="str">
        <x:v>Prefix</x:v>
      </x:c>
    </x:row>
    <x:row r="8" ht="15" hidden="0" customHeight="1">
      <x:c r="A8" s="22" t="n">
        <x:v>1103</x:v>
      </x:c>
      <x:c r="B8" s="22" t="n">
        <x:v>1001</x:v>
      </x:c>
      <x:c r="C8" s="22" t="str">
        <x:v>Exclude</x:v>
      </x:c>
      <x:c r="D8" s="22" t="str">
        <x:v>URL</x:v>
      </x:c>
      <x:c r="E8" s="25" t="str">
        <x:v>https://shop.example.vn/payment/</x:v>
      </x:c>
      <x:c r="F8" s="22" t="str">
        <x:v>Prefix</x:v>
      </x:c>
    </x:row>
    <x:row r="9" ht="15" hidden="0" customHeight="1">
      <x:c r="A9" s="22" t="n">
        <x:v>1104</x:v>
      </x:c>
      <x:c r="B9" s="22" t="n">
        <x:v>1001</x:v>
      </x:c>
      <x:c r="C9" s="22" t="str">
        <x:v>Exclude</x:v>
      </x:c>
      <x:c r="D9" s="22" t="str">
        <x:v>URL</x:v>
      </x:c>
      <x:c r="E9" s="25" t="str">
        <x:v>https://shop.example.vn/logout</x:v>
      </x:c>
      <x:c r="F9" s="22" t="str">
        <x:v>Exact</x:v>
      </x:c>
    </x:row>
    <x:row r="10" ht="15" hidden="0" customHeight="1">
      <x:c r="A10" s="22" t="n">
        <x:v>1105</x:v>
      </x:c>
      <x:c r="B10" s="22" t="n">
        <x:v>1002</x:v>
      </x:c>
      <x:c r="C10" s="22" t="str">
        <x:v>Include</x:v>
      </x:c>
      <x:c r="D10" s="22" t="str">
        <x:v>Domain</x:v>
      </x:c>
      <x:c r="E10" s="25" t="str">
        <x:v>portal.example.vn</x:v>
      </x:c>
      <x:c r="F10" s="22" t="str">
        <x:v>Exact</x:v>
      </x:c>
    </x:row>
    <x:row r="11" ht="15" hidden="0" customHeight="1">
      <x:c r="A11" s="22" t="n">
        <x:v>1106</x:v>
      </x:c>
      <x:c r="B11" s="22" t="n">
        <x:v>1002</x:v>
      </x:c>
      <x:c r="C11" s="22" t="str">
        <x:v>Exclude</x:v>
      </x:c>
      <x:c r="D11" s="22" t="str">
        <x:v>URL</x:v>
      </x:c>
      <x:c r="E11" s="25" t="str">
        <x:v>https://portal.example.vn/admin/</x:v>
      </x:c>
      <x:c r="F11" s="22" t="str">
        <x:v>Prefix</x:v>
      </x:c>
    </x:row>
    <x:row r="12" ht="15" hidden="0" customHeight="1">
      <x:c r="A12" s="22" t="n">
        <x:v>1107</x:v>
      </x:c>
      <x:c r="B12" s="22" t="n">
        <x:v>1003</x:v>
      </x:c>
      <x:c r="C12" s="22" t="str">
        <x:v>Include</x:v>
      </x:c>
      <x:c r="D12" s="22" t="str">
        <x:v>Domain</x:v>
      </x:c>
      <x:c r="E12" s="25" t="str">
        <x:v>intranet.example.vn</x:v>
      </x:c>
      <x:c r="F12" s="22" t="str">
        <x:v>Exact</x:v>
      </x:c>
    </x:row>
  </x:sheetData>
  <x:conditionalFormatting sqref="C6:C12">
    <x:cfRule type="containsText" dxfId="34" priority="1" operator="containsText" text="Active"/>
    <x:cfRule type="containsText" dxfId="35" priority="2" operator="containsText" text="Approved"/>
    <x:cfRule type="containsText" dxfId="36" priority="3" operator="containsText" text="Completed"/>
    <x:cfRule type="containsText" dxfId="37" priority="4" operator="containsText" text="Processed"/>
    <x:cfRule type="containsText" dxfId="38" priority="5" operator="containsText" text="Closed"/>
    <x:cfRule type="containsText" dxfId="39" priority="6" operator="containsText" text="Success"/>
    <x:cfRule type="containsText" dxfId="40" priority="7" operator="containsText" text="Include"/>
    <x:cfRule type="containsText" dxfId="41" priority="8" operator="containsText" text="Failed"/>
    <x:cfRule type="containsText" dxfId="42" priority="9" operator="containsText" text="Failure"/>
    <x:cfRule type="containsText" dxfId="43" priority="10" operator="containsText" text="Critical"/>
    <x:cfRule type="containsText" dxfId="44" priority="11" operator="containsText" text="Rejected"/>
    <x:cfRule type="containsText" dxfId="45" priority="12" operator="containsText" text="Exclude"/>
    <x:cfRule type="containsText" dxfId="46" priority="13" operator="containsText" text="Suspended"/>
    <x:cfRule type="containsText" dxfId="47" priority="14" operator="containsText" text="Running"/>
    <x:cfRule type="containsText" dxfId="48" priority="15" operator="containsText" text="In Progress"/>
    <x:cfRule type="containsText" dxfId="49" priority="16" operator="containsText" text="High"/>
    <x:cfRule type="containsText" dxfId="50" priority="17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70799e04a6284c1d"/>
  </x:tableParts>
</x:worksheet>
</file>

<file path=xl/worksheets/sheet7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  <x:col min="5" max="5" width="10" hidden="0" customWidth="1"/>
    <x:col min="6" max="6" width="15" hidden="0" customWidth="1"/>
    <x:col min="7" max="7" width="14" hidden="0" customWidth="1"/>
  </x:cols>
  <x:sheetData>
    <x:row r="2">
      <x:c r="A2" s="3" t="str">
        <x:v>asset_scan_window — khung giờ quét</x:v>
      </x:c>
      <x:c r="B2" s="4"/>
      <x:c r="C2" s="4"/>
      <x:c r="D2" s="4"/>
      <x:c r="E2" s="4"/>
      <x:c r="F2" s="4"/>
      <x:c r="G2" s="4"/>
    </x:row>
    <x:row r="3">
      <x:c r="A3" s="2" t="str">
        <x:v>weekday_iso từ 1 (thứ Hai) đến 7 (Chủ nhật). ends_next_day=true cho khung qua nửa đêm.</x:v>
      </x:c>
      <x:c r="B3" s="2"/>
      <x:c r="C3" s="2"/>
      <x:c r="D3" s="2"/>
      <x:c r="E3" s="2"/>
      <x:c r="F3" s="2"/>
      <x:c r="G3" s="2"/>
    </x:row>
    <x:row r="5" ht="32" hidden="0" customHeight="1">
      <x:c r="A5" s="17" t="str">
        <x:v>id</x:v>
      </x:c>
      <x:c r="B5" s="18" t="str">
        <x:v>scope_id</x:v>
      </x:c>
      <x:c r="C5" s="18" t="str">
        <x:v>weekday_iso</x:v>
      </x:c>
      <x:c r="D5" s="18" t="str">
        <x:v>start_time</x:v>
      </x:c>
      <x:c r="E5" s="18" t="str">
        <x:v>end_time</x:v>
      </x:c>
      <x:c r="F5" s="18" t="str">
        <x:v>ends_next_day</x:v>
      </x:c>
      <x:c r="G5" s="19" t="str">
        <x:v>timezone</x:v>
      </x:c>
    </x:row>
    <x:row r="6" ht="15" hidden="0" customHeight="1">
      <x:c r="A6" s="22" t="n">
        <x:v>1201</x:v>
      </x:c>
      <x:c r="B6" s="22" t="n">
        <x:v>1001</x:v>
      </x:c>
      <x:c r="C6" s="22" t="n">
        <x:v>7</x:v>
      </x:c>
      <x:c r="D6" s="22" t="str">
        <x:v>01:00</x:v>
      </x:c>
      <x:c r="E6" s="22" t="str">
        <x:v>05:00</x:v>
      </x:c>
      <x:c r="F6" s="23" t="b">
        <x:v>0</x:v>
      </x:c>
      <x:c r="G6" s="22" t="str">
        <x:v>Asia/Bangkok</x:v>
      </x:c>
    </x:row>
    <x:row r="7" ht="15" hidden="0" customHeight="1">
      <x:c r="A7" s="22" t="n">
        <x:v>1202</x:v>
      </x:c>
      <x:c r="B7" s="22" t="n">
        <x:v>1001</x:v>
      </x:c>
      <x:c r="C7" s="22" t="n">
        <x:v>3</x:v>
      </x:c>
      <x:c r="D7" s="22" t="str">
        <x:v>22:00</x:v>
      </x:c>
      <x:c r="E7" s="22" t="str">
        <x:v>02:00</x:v>
      </x:c>
      <x:c r="F7" s="23" t="b">
        <x:v>1</x:v>
      </x:c>
      <x:c r="G7" s="22" t="str">
        <x:v>Asia/Bangkok</x:v>
      </x:c>
    </x:row>
    <x:row r="8" ht="15" hidden="0" customHeight="1">
      <x:c r="A8" s="22" t="n">
        <x:v>1203</x:v>
      </x:c>
      <x:c r="B8" s="22" t="n">
        <x:v>1002</x:v>
      </x:c>
      <x:c r="C8" s="22" t="n">
        <x:v>6</x:v>
      </x:c>
      <x:c r="D8" s="22" t="str">
        <x:v>00:30</x:v>
      </x:c>
      <x:c r="E8" s="22" t="str">
        <x:v>04:30</x:v>
      </x:c>
      <x:c r="F8" s="23" t="b">
        <x:v>0</x:v>
      </x:c>
      <x:c r="G8" s="22" t="str">
        <x:v>Asia/Bangkok</x:v>
      </x:c>
    </x:row>
    <x:row r="9" ht="15" hidden="0" customHeight="1">
      <x:c r="A9" s="22" t="n">
        <x:v>1204</x:v>
      </x:c>
      <x:c r="B9" s="22" t="n">
        <x:v>1003</x:v>
      </x:c>
      <x:c r="C9" s="22" t="n">
        <x:v>2</x:v>
      </x:c>
      <x:c r="D9" s="22" t="str">
        <x:v>08:00</x:v>
      </x:c>
      <x:c r="E9" s="22" t="str">
        <x:v>12:00</x:v>
      </x:c>
      <x:c r="F9" s="23" t="b">
        <x:v>0</x:v>
      </x:c>
      <x:c r="G9" s="22" t="str">
        <x:v>Asia/Bangkok</x:v>
      </x:c>
    </x:row>
  </x:sheetData>
  <x:pageMargins left="0.7" right="0.7" top="0.75" bottom="0.75" header="0.3" footer="0.3"/>
  <x:tableParts count="1">
    <x:tablePart xmlns:r="http://schemas.openxmlformats.org/officeDocument/2006/relationships" r:id="Rd0cce38d63414338"/>
  </x:tableParts>
</x:worksheet>
</file>

<file path=xl/worksheets/sheet8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1" hidden="0" customWidth="1"/>
    <x:col min="4" max="4" width="12" hidden="0" customWidth="1"/>
    <x:col min="5" max="5" width="10" hidden="0" customWidth="1"/>
    <x:col min="6" max="6" width="13" hidden="0" customWidth="1"/>
    <x:col min="7" max="7" width="22" hidden="0" customWidth="1"/>
    <x:col min="8" max="8" width="21" hidden="0" customWidth="1"/>
    <x:col min="9" max="9" width="17" hidden="0" customWidth="1"/>
    <x:col min="10" max="10" width="22" hidden="0" customWidth="1"/>
    <x:col min="11" max="11" width="18" hidden="0" customWidth="1"/>
    <x:col min="12" max="12" width="13" hidden="0" customWidth="1"/>
    <x:col min="13" max="13" width="11" hidden="0" customWidth="1"/>
    <x:col min="14" max="14" width="18" hidden="0" customWidth="1"/>
    <x:col min="15" max="15" width="31" hidden="0" customWidth="1"/>
    <x:col min="16" max="16" width="15" hidden="0" customWidth="1"/>
    <x:col min="17" max="17" width="12" hidden="0" customWidth="1"/>
    <x:col min="18" max="18" width="12" hidden="0" customWidth="1"/>
    <x:col min="19" max="19" width="34" hidden="0" customWidth="1"/>
    <x:col min="20" max="20" width="13" hidden="0" customWidth="1"/>
    <x:col min="21" max="21" width="34" hidden="0" customWidth="1"/>
  </x:cols>
  <x:sheetData>
    <x:row r="2">
      <x:c r="A2" s="3" t="str">
        <x:v>zap_scan_profile — hồ sơ OWASP ZAP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>
      <x:c r="A3" s="2" t="str">
        <x:v>Chỉ lưu tham chiếu bí mật; không lưu token hoặc mật khẩu ở dạng rõ.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5" ht="32" hidden="0" customHeight="1">
      <x:c r="A5" s="17" t="str">
        <x:v>id</x:v>
      </x:c>
      <x:c r="B5" s="18" t="str">
        <x:v>code</x:v>
      </x:c>
      <x:c r="C5" s="18" t="str">
        <x:v>name</x:v>
      </x:c>
      <x:c r="D5" s="18" t="str">
        <x:v>version_no</x:v>
      </x:c>
      <x:c r="E5" s="18" t="str">
        <x:v>status</x:v>
      </x:c>
      <x:c r="F5" s="18" t="str">
        <x:v>spider_kind</x:v>
      </x:c>
      <x:c r="G5" s="18" t="str">
        <x:v>passive_scan_enabled</x:v>
      </x:c>
      <x:c r="H5" s="18" t="str">
        <x:v>active_scan_enabled</x:v>
      </x:c>
      <x:c r="I5" s="18" t="str">
        <x:v>max_crawl_depth</x:v>
      </x:c>
      <x:c r="J5" s="18" t="str">
        <x:v>max_duration_minutes</x:v>
      </x:c>
      <x:c r="K5" s="18" t="str">
        <x:v>request_delay_ms</x:v>
      </x:c>
      <x:c r="L5" s="18" t="str">
        <x:v>max_threads</x:v>
      </x:c>
      <x:c r="M5" s="18" t="str">
        <x:v>auth_kind</x:v>
      </x:c>
      <x:c r="N5" s="18" t="str">
        <x:v>auth_header_name</x:v>
      </x:c>
      <x:c r="O5" s="18" t="str">
        <x:v>auth_secret_ref</x:v>
      </x:c>
      <x:c r="P5" s="18" t="str">
        <x:v>report_format</x:v>
      </x:c>
      <x:c r="Q5" s="18" t="str">
        <x:v>service_user_id</x:v>
      </x:c>
      <x:c r="R5" s="18" t="str">
        <x:v>created_by</x:v>
      </x:c>
      <x:c r="S5" s="18" t="str">
        <x:v>created_at</x:v>
      </x:c>
      <x:c r="T5" s="18" t="str">
        <x:v>approved_by</x:v>
      </x:c>
      <x:c r="U5" s="19" t="str">
        <x:v>approved_at</x:v>
      </x:c>
    </x:row>
    <x:row r="6" ht="15" hidden="0" customHeight="1">
      <x:c r="A6" s="22" t="n">
        <x:v>2001</x:v>
      </x:c>
      <x:c r="B6" s="22" t="str">
        <x:v>ZAP-WEB-FULL</x:v>
      </x:c>
      <x:c r="C6" s="22" t="str">
        <x:v>Hồ sơ quét web có active scan</x:v>
      </x:c>
      <x:c r="D6" s="22" t="n">
        <x:v>1</x:v>
      </x:c>
      <x:c r="E6" s="22" t="str">
        <x:v>Active</x:v>
      </x:c>
      <x:c r="F6" s="22" t="str">
        <x:v>Traditional</x:v>
      </x:c>
      <x:c r="G6" s="23" t="b">
        <x:v>1</x:v>
      </x:c>
      <x:c r="H6" s="23" t="b">
        <x:v>1</x:v>
      </x:c>
      <x:c r="I6" s="22" t="n">
        <x:v>5</x:v>
      </x:c>
      <x:c r="J6" s="22" t="n">
        <x:v>180</x:v>
      </x:c>
      <x:c r="K6" s="22" t="n">
        <x:v>250</x:v>
      </x:c>
      <x:c r="L6" s="22" t="n">
        <x:v>4</x:v>
      </x:c>
      <x:c r="M6" s="22" t="str">
        <x:v>Header</x:v>
      </x:c>
      <x:c r="N6" s="22" t="str">
        <x:v>Authorization</x:v>
      </x:c>
      <x:c r="O6" s="22" t="str">
        <x:v>vault://htqlhdk/zap/shop-auth</x:v>
      </x:c>
      <x:c r="P6" s="22" t="str">
        <x:v>JSON</x:v>
      </x:c>
      <x:c r="Q6" s="22" t="n">
        <x:v>7</x:v>
      </x:c>
      <x:c r="R6" s="22" t="n">
        <x:v>4</x:v>
      </x:c>
      <x:c r="S6" s="24" t="n">
        <x:v>46032.041666666664</x:v>
      </x:c>
      <x:c r="T6" s="22" t="n">
        <x:v>3</x:v>
      </x:c>
      <x:c r="U6" s="24" t="n">
        <x:v>46032.083333333336</x:v>
      </x:c>
    </x:row>
    <x:row r="7" ht="15" hidden="0" customHeight="1">
      <x:c r="A7" s="22" t="n">
        <x:v>2002</x:v>
      </x:c>
      <x:c r="B7" s="22" t="str">
        <x:v>ZAP-WEB-PASSIVE</x:v>
      </x:c>
      <x:c r="C7" s="22" t="str">
        <x:v>Hồ sơ passive scan</x:v>
      </x:c>
      <x:c r="D7" s="22" t="n">
        <x:v>1</x:v>
      </x:c>
      <x:c r="E7" s="22" t="str">
        <x:v>Active</x:v>
      </x:c>
      <x:c r="F7" s="22" t="str">
        <x:v>Ajax</x:v>
      </x:c>
      <x:c r="G7" s="23" t="b">
        <x:v>1</x:v>
      </x:c>
      <x:c r="H7" s="23" t="b">
        <x:v>0</x:v>
      </x:c>
      <x:c r="I7" s="22" t="n">
        <x:v>4</x:v>
      </x:c>
      <x:c r="J7" s="22" t="n">
        <x:v>90</x:v>
      </x:c>
      <x:c r="K7" s="22" t="n">
        <x:v>500</x:v>
      </x:c>
      <x:c r="L7" s="22" t="n">
        <x:v>2</x:v>
      </x:c>
      <x:c r="M7" s="22" t="str">
        <x:v>None</x:v>
      </x:c>
      <x:c r="N7" s="22"/>
      <x:c r="O7" s="22"/>
      <x:c r="P7" s="22" t="str">
        <x:v>JSON</x:v>
      </x:c>
      <x:c r="Q7" s="22" t="n">
        <x:v>7</x:v>
      </x:c>
      <x:c r="R7" s="22" t="n">
        <x:v>4</x:v>
      </x:c>
      <x:c r="S7" s="24" t="n">
        <x:v>46032.0625</x:v>
      </x:c>
      <x:c r="T7" s="22" t="n">
        <x:v>3</x:v>
      </x:c>
      <x:c r="U7" s="24" t="n">
        <x:v>46032.104166666664</x:v>
      </x:c>
    </x:row>
  </x:sheetData>
  <x:conditionalFormatting sqref="E6:E7">
    <x:cfRule type="containsText" dxfId="51" priority="1" operator="containsText" text="Active"/>
    <x:cfRule type="containsText" dxfId="52" priority="2" operator="containsText" text="Approved"/>
    <x:cfRule type="containsText" dxfId="53" priority="3" operator="containsText" text="Completed"/>
    <x:cfRule type="containsText" dxfId="54" priority="4" operator="containsText" text="Processed"/>
    <x:cfRule type="containsText" dxfId="55" priority="5" operator="containsText" text="Closed"/>
    <x:cfRule type="containsText" dxfId="56" priority="6" operator="containsText" text="Success"/>
    <x:cfRule type="containsText" dxfId="57" priority="7" operator="containsText" text="Include"/>
    <x:cfRule type="containsText" dxfId="58" priority="8" operator="containsText" text="Failed"/>
    <x:cfRule type="containsText" dxfId="59" priority="9" operator="containsText" text="Failure"/>
    <x:cfRule type="containsText" dxfId="60" priority="10" operator="containsText" text="Critical"/>
    <x:cfRule type="containsText" dxfId="61" priority="11" operator="containsText" text="Rejected"/>
    <x:cfRule type="containsText" dxfId="62" priority="12" operator="containsText" text="Exclude"/>
    <x:cfRule type="containsText" dxfId="63" priority="13" operator="containsText" text="Suspended"/>
    <x:cfRule type="containsText" dxfId="64" priority="14" operator="containsText" text="Running"/>
    <x:cfRule type="containsText" dxfId="65" priority="15" operator="containsText" text="In Progress"/>
    <x:cfRule type="containsText" dxfId="66" priority="16" operator="containsText" text="High"/>
    <x:cfRule type="containsText" dxfId="67" priority="17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ffb619db460848a4"/>
  </x:tableParts>
</x:worksheet>
</file>

<file path=xl/worksheets/sheet9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33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22" hidden="0" customWidth="1"/>
    <x:col min="11" max="11" width="14" hidden="0" customWidth="1"/>
    <x:col min="12" max="12" width="34" hidden="0" customWidth="1"/>
    <x:col min="13" max="13" width="17" hidden="0" customWidth="1"/>
    <x:col min="14" max="14" width="12" hidden="0" customWidth="1"/>
    <x:col min="15" max="15" width="34" hidden="0" customWidth="1"/>
    <x:col min="16" max="16" width="12" hidden="0" customWidth="1"/>
    <x:col min="17" max="17" width="34" hidden="0" customWidth="1"/>
    <x:col min="18" max="18" width="13" hidden="0" customWidth="1"/>
    <x:col min="19" max="19" width="34" hidden="0" customWidth="1"/>
  </x:cols>
  <x:sheetData>
    <x:row r="2">
      <x:c r="A2" s="3" t="str">
        <x:v>scan_plan — kế hoạch quét định kỳ hoặc xác minh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>
      <x:c r="A3" s="2" t="str">
        <x:v>Tài sản được suy ra từ scope_id. Verification tham chiếu remediation_ticket_id.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5" ht="32" hidden="0" customHeight="1">
      <x:c r="A5" s="17" t="str">
        <x:v>id</x:v>
      </x:c>
      <x:c r="B5" s="18" t="str">
        <x:v>code</x:v>
      </x:c>
      <x:c r="C5" s="18" t="str">
        <x:v>version_no</x:v>
      </x:c>
      <x:c r="D5" s="18" t="str">
        <x:v>name</x:v>
      </x:c>
      <x:c r="E5" s="18" t="str">
        <x:v>plan_kind</x:v>
      </x:c>
      <x:c r="F5" s="18" t="str">
        <x:v>scope_id</x:v>
      </x:c>
      <x:c r="G5" s="18" t="str">
        <x:v>zap_profile_id</x:v>
      </x:c>
      <x:c r="H5" s="18" t="str">
        <x:v>operator_id</x:v>
      </x:c>
      <x:c r="I5" s="18" t="str">
        <x:v>status</x:v>
      </x:c>
      <x:c r="J5" s="18" t="str">
        <x:v>recurrence_rule</x:v>
      </x:c>
      <x:c r="K5" s="18" t="str">
        <x:v>timezone</x:v>
      </x:c>
      <x:c r="L5" s="18" t="str">
        <x:v>effective_from</x:v>
      </x:c>
      <x:c r="M5" s="18" t="str">
        <x:v>effective_until</x:v>
      </x:c>
      <x:c r="N5" s="18" t="str">
        <x:v>remediation_ticket_id</x:v>
      </x:c>
      <x:c r="O5" s="18" t="str">
        <x:v>requested_for</x:v>
      </x:c>
      <x:c r="P5" s="18" t="str">
        <x:v>created_by</x:v>
      </x:c>
      <x:c r="Q5" s="18" t="str">
        <x:v>created_at</x:v>
      </x:c>
      <x:c r="R5" s="18" t="str">
        <x:v>approved_by</x:v>
      </x:c>
      <x:c r="S5" s="19" t="str">
        <x:v>approved_at</x:v>
      </x:c>
    </x:row>
    <x:row r="6" ht="15" hidden="0" customHeight="1">
      <x:c r="A6" s="22" t="n">
        <x:v>3001</x:v>
      </x:c>
      <x:c r="B6" s="22" t="str">
        <x:v>PLAN-SHOP-WEEKLY</x:v>
      </x:c>
      <x:c r="C6" s="22" t="n">
        <x:v>1</x:v>
      </x:c>
      <x:c r="D6" s="22" t="str">
        <x:v>Quét website bán hàng hàng tuần</x:v>
      </x:c>
      <x:c r="E6" s="22" t="str">
        <x:v>Periodic</x:v>
      </x:c>
      <x:c r="F6" s="22" t="n">
        <x:v>1001</x:v>
      </x:c>
      <x:c r="G6" s="22" t="n">
        <x:v>2001</x:v>
      </x:c>
      <x:c r="H6" s="22" t="n">
        <x:v>4</x:v>
      </x:c>
      <x:c r="I6" s="22" t="str">
        <x:v>Active</x:v>
      </x:c>
      <x:c r="J6" s="22" t="str">
        <x:v>FREQ=WEEKLY;BYDAY=SU</x:v>
      </x:c>
      <x:c r="K6" s="22" t="str">
        <x:v>Asia/Bangkok</x:v>
      </x:c>
      <x:c r="L6" s="24" t="n">
        <x:v>46235</x:v>
      </x:c>
      <x:c r="M6" s="24"/>
      <x:c r="N6" s="22"/>
      <x:c r="O6" s="24"/>
      <x:c r="P6" s="22" t="n">
        <x:v>3</x:v>
      </x:c>
      <x:c r="Q6" s="24" t="n">
        <x:v>46228.083333333336</x:v>
      </x:c>
      <x:c r="R6" s="22" t="n">
        <x:v>3</x:v>
      </x:c>
      <x:c r="S6" s="24" t="n">
        <x:v>46228.125</x:v>
      </x:c>
    </x:row>
    <x:row r="7" ht="15" hidden="0" customHeight="1">
      <x:c r="A7" s="22" t="n">
        <x:v>3002</x:v>
      </x:c>
      <x:c r="B7" s="22" t="str">
        <x:v>PLAN-PORTAL-WEEKLY</x:v>
      </x:c>
      <x:c r="C7" s="22" t="n">
        <x:v>1</x:v>
      </x:c>
      <x:c r="D7" s="22" t="str">
        <x:v>Quét cổng khách hàng hàng tuần</x:v>
      </x:c>
      <x:c r="E7" s="22" t="str">
        <x:v>Periodic</x:v>
      </x:c>
      <x:c r="F7" s="22" t="n">
        <x:v>1002</x:v>
      </x:c>
      <x:c r="G7" s="22" t="n">
        <x:v>2002</x:v>
      </x:c>
      <x:c r="H7" s="22" t="n">
        <x:v>4</x:v>
      </x:c>
      <x:c r="I7" s="22" t="str">
        <x:v>Active</x:v>
      </x:c>
      <x:c r="J7" s="22" t="str">
        <x:v>FREQ=WEEKLY;BYDAY=SA</x:v>
      </x:c>
      <x:c r="K7" s="22" t="str">
        <x:v>Asia/Bangkok</x:v>
      </x:c>
      <x:c r="L7" s="24" t="n">
        <x:v>46235</x:v>
      </x:c>
      <x:c r="M7" s="24"/>
      <x:c r="N7" s="22"/>
      <x:c r="O7" s="24"/>
      <x:c r="P7" s="22" t="n">
        <x:v>3</x:v>
      </x:c>
      <x:c r="Q7" s="24" t="n">
        <x:v>46228.09027777778</x:v>
      </x:c>
      <x:c r="R7" s="22" t="n">
        <x:v>3</x:v>
      </x:c>
      <x:c r="S7" s="24" t="n">
        <x:v>46228.131944444445</x:v>
      </x:c>
    </x:row>
    <x:row r="8" ht="15" hidden="0" customHeight="1">
      <x:c r="A8" s="22" t="n">
        <x:v>3003</x:v>
      </x:c>
      <x:c r="B8" s="22" t="str">
        <x:v>VERIFY-SHOP-001</x:v>
      </x:c>
      <x:c r="C8" s="22" t="n">
        <x:v>1</x:v>
      </x:c>
      <x:c r="D8" s="22" t="str">
        <x:v>Xác minh FIND-SHOP-001</x:v>
      </x:c>
      <x:c r="E8" s="22" t="str">
        <x:v>Verification</x:v>
      </x:c>
      <x:c r="F8" s="22" t="n">
        <x:v>1001</x:v>
      </x:c>
      <x:c r="G8" s="22" t="n">
        <x:v>2001</x:v>
      </x:c>
      <x:c r="H8" s="22" t="n">
        <x:v>4</x:v>
      </x:c>
      <x:c r="I8" s="22" t="str">
        <x:v>Active</x:v>
      </x:c>
      <x:c r="J8" s="22"/>
      <x:c r="K8" s="22"/>
      <x:c r="L8" s="24"/>
      <x:c r="M8" s="24"/>
      <x:c r="N8" s="22" t="n">
        <x:v>6001</x:v>
      </x:c>
      <x:c r="O8" s="24" t="n">
        <x:v>46280.041666666664</x:v>
      </x:c>
      <x:c r="P8" s="22" t="n">
        <x:v>3</x:v>
      </x:c>
      <x:c r="Q8" s="24" t="n">
        <x:v>46275.083333333336</x:v>
      </x:c>
      <x:c r="R8" s="22" t="n">
        <x:v>3</x:v>
      </x:c>
      <x:c r="S8" s="24" t="n">
        <x:v>46275.125</x:v>
      </x:c>
    </x:row>
  </x:sheetData>
  <x:conditionalFormatting sqref="I6:I8">
    <x:cfRule type="containsText" dxfId="68" priority="1" operator="containsText" text="Active"/>
    <x:cfRule type="containsText" dxfId="69" priority="2" operator="containsText" text="Approved"/>
    <x:cfRule type="containsText" dxfId="70" priority="3" operator="containsText" text="Completed"/>
    <x:cfRule type="containsText" dxfId="71" priority="4" operator="containsText" text="Processed"/>
    <x:cfRule type="containsText" dxfId="72" priority="5" operator="containsText" text="Closed"/>
    <x:cfRule type="containsText" dxfId="73" priority="6" operator="containsText" text="Success"/>
    <x:cfRule type="containsText" dxfId="74" priority="7" operator="containsText" text="Include"/>
    <x:cfRule type="containsText" dxfId="75" priority="8" operator="containsText" text="Failed"/>
    <x:cfRule type="containsText" dxfId="76" priority="9" operator="containsText" text="Failure"/>
    <x:cfRule type="containsText" dxfId="77" priority="10" operator="containsText" text="Critical"/>
    <x:cfRule type="containsText" dxfId="78" priority="11" operator="containsText" text="Rejected"/>
    <x:cfRule type="containsText" dxfId="79" priority="12" operator="containsText" text="Exclude"/>
    <x:cfRule type="containsText" dxfId="80" priority="13" operator="containsText" text="Suspended"/>
    <x:cfRule type="containsText" dxfId="81" priority="14" operator="containsText" text="Running"/>
    <x:cfRule type="containsText" dxfId="82" priority="15" operator="containsText" text="In Progress"/>
    <x:cfRule type="containsText" dxfId="83" priority="16" operator="containsText" text="High"/>
    <x:cfRule type="containsText" dxfId="84" priority="17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d7d038853e3f4ceb"/>
  </x:tableParts>
</x:worksheet>
</file>

<file path=xl/worksheets/sheet10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1" hidden="0" customWidth="1"/>
    <x:col min="4" max="4" width="34" hidden="0" customWidth="1"/>
    <x:col min="5" max="5" width="13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13" hidden="0" customWidth="1"/>
    <x:col min="11" max="11" width="11" hidden="0" customWidth="1"/>
    <x:col min="12" max="12" width="21" hidden="0" customWidth="1"/>
    <x:col min="13" max="13" width="30" hidden="0" customWidth="1"/>
    <x:col min="14" max="14" width="15" hidden="0" customWidth="1"/>
    <x:col min="15" max="15" width="30" hidden="0" customWidth="1"/>
    <x:col min="16" max="16" width="24" hidden="0" customWidth="1"/>
    <x:col min="17" max="17" width="19" hidden="0" customWidth="1"/>
    <x:col min="18" max="18" width="15" hidden="0" customWidth="1"/>
    <x:col min="19" max="19" width="23" hidden="0" customWidth="1"/>
    <x:col min="20" max="20" width="34" hidden="0" customWidth="1"/>
    <x:col min="21" max="21" width="20" hidden="0" customWidth="1"/>
    <x:col min="22" max="22" width="21" hidden="0" customWidth="1"/>
    <x:col min="23" max="23" width="22" hidden="0" customWidth="1"/>
    <x:col min="24" max="24" width="30" hidden="0" customWidth="1"/>
    <x:col min="25" max="25" width="14" hidden="0" customWidth="1"/>
    <x:col min="26" max="26" width="34" hidden="0" customWidth="1"/>
  </x:cols>
  <x:sheetData>
    <x:row r="2">
      <x:c r="A2" s="3" t="str">
        <x:v>scan_run — từng lần quét và báo cáo nguồn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2" t="str">
        <x:v>Mỗi dòng giữ lịch sử một lần chạy. Các trường báo cáo để trống cho tới khi nhận được báo cáo.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5" ht="32" hidden="0" customHeight="1">
      <x:c r="A5" s="17" t="str">
        <x:v>id</x:v>
      </x:c>
      <x:c r="B5" s="18" t="str">
        <x:v>plan_id</x:v>
      </x:c>
      <x:c r="C5" s="18" t="str">
        <x:v>code</x:v>
      </x:c>
      <x:c r="D5" s="18" t="str">
        <x:v>scheduled_for</x:v>
      </x:c>
      <x:c r="E5" s="18" t="str">
        <x:v>scan_status</x:v>
      </x:c>
      <x:c r="F5" s="18" t="str">
        <x:v>started_at</x:v>
      </x:c>
      <x:c r="G5" s="18" t="str">
        <x:v>heartbeat_at</x:v>
      </x:c>
      <x:c r="H5" s="18" t="str">
        <x:v>finished_at</x:v>
      </x:c>
      <x:c r="I5" s="18" t="str">
        <x:v>external_session_id</x:v>
      </x:c>
      <x:c r="J5" s="18" t="str">
        <x:v>zap_version</x:v>
      </x:c>
      <x:c r="K5" s="18" t="str">
        <x:v>exit_code</x:v>
      </x:c>
      <x:c r="L5" s="18" t="str">
        <x:v>failure_code</x:v>
      </x:c>
      <x:c r="M5" s="18" t="str">
        <x:v>failure_message_masked</x:v>
      </x:c>
      <x:c r="N5" s="18" t="str">
        <x:v>report_status</x:v>
      </x:c>
      <x:c r="O5" s="18" t="str">
        <x:v>report_object_key</x:v>
      </x:c>
      <x:c r="P5" s="18" t="str">
        <x:v>report_sha256</x:v>
      </x:c>
      <x:c r="Q5" s="18" t="str">
        <x:v>report_size_bytes</x:v>
      </x:c>
      <x:c r="R5" s="18" t="str">
        <x:v>report_format</x:v>
      </x:c>
      <x:c r="S5" s="18" t="str">
        <x:v>report_key_ref</x:v>
      </x:c>
      <x:c r="T5" s="18" t="str">
        <x:v>report_received_at</x:v>
      </x:c>
      <x:c r="U5" s="18" t="str">
        <x:v>coverage_confirmed</x:v>
      </x:c>
      <x:c r="V5" s="18" t="str">
        <x:v>fingerprint_present</x:v>
      </x:c>
      <x:c r="W5" s="18" t="str">
        <x:v>verification_outcome</x:v>
      </x:c>
      <x:c r="X5" s="18" t="str">
        <x:v>verification_reason</x:v>
      </x:c>
      <x:c r="Y5" s="18" t="str">
        <x:v>evaluated_by</x:v>
      </x:c>
      <x:c r="Z5" s="19" t="str">
        <x:v>evaluated_at</x:v>
      </x:c>
    </x:row>
    <x:row r="6" ht="15" hidden="0" customHeight="1">
      <x:c r="A6" s="22" t="n">
        <x:v>4001</x:v>
      </x:c>
      <x:c r="B6" s="22" t="n">
        <x:v>3001</x:v>
      </x:c>
      <x:c r="C6" s="22" t="str">
        <x:v>RUN-SHOP-20260901</x:v>
      </x:c>
      <x:c r="D6" s="24" t="n">
        <x:v>46266.041666666664</x:v>
      </x:c>
      <x:c r="E6" s="22" t="str">
        <x:v>Completed</x:v>
      </x:c>
      <x:c r="F6" s="24" t="n">
        <x:v>46266.041666666664</x:v>
      </x:c>
      <x:c r="G6" s="24" t="n">
        <x:v>46266.12152777778</x:v>
      </x:c>
      <x:c r="H6" s="24" t="n">
        <x:v>46266.125</x:v>
      </x:c>
      <x:c r="I6" s="22" t="str">
        <x:v>zap-session-001</x:v>
      </x:c>
      <x:c r="J6" s="22" t="str">
        <x:v>2.16.1</x:v>
      </x:c>
      <x:c r="K6" s="22" t="n">
        <x:v>0</x:v>
      </x:c>
      <x:c r="L6" s="22"/>
      <x:c r="M6" s="25"/>
      <x:c r="N6" s="22" t="str">
        <x:v>Processed</x:v>
      </x:c>
      <x:c r="O6" s="25" t="str">
        <x:v>reports/shop/20260901.json</x:v>
      </x:c>
      <x:c r="P6" s="22" t="str">
        <x:v>eeeeeeeeeeeeeeeeeeeeeeeeeeeeeeeeeeeeeeeeeeeeeeeeeeeeeeeeeeeeeeee</x:v>
      </x:c>
      <x:c r="Q6" s="22" t="n">
        <x:v>245760</x:v>
      </x:c>
      <x:c r="R6" s="22" t="str">
        <x:v>JSON</x:v>
      </x:c>
      <x:c r="S6" s="22" t="str">
        <x:v>kms://demo/report-key</x:v>
      </x:c>
      <x:c r="T6" s="24" t="n">
        <x:v>46266.131944444445</x:v>
      </x:c>
      <x:c r="U6" s="22"/>
      <x:c r="V6" s="22"/>
      <x:c r="W6" s="22"/>
      <x:c r="X6" s="25"/>
      <x:c r="Y6" s="22"/>
      <x:c r="Z6" s="24"/>
    </x:row>
    <x:row r="7" ht="15" hidden="0" customHeight="1">
      <x:c r="A7" s="22" t="n">
        <x:v>4002</x:v>
      </x:c>
      <x:c r="B7" s="22" t="n">
        <x:v>3001</x:v>
      </x:c>
      <x:c r="C7" s="22" t="str">
        <x:v>RUN-SHOP-20260908</x:v>
      </x:c>
      <x:c r="D7" s="24" t="n">
        <x:v>46273.041666666664</x:v>
      </x:c>
      <x:c r="E7" s="22" t="str">
        <x:v>Failed</x:v>
      </x:c>
      <x:c r="F7" s="24" t="n">
        <x:v>46273.041666666664</x:v>
      </x:c>
      <x:c r="G7" s="24" t="n">
        <x:v>46273.055555555555</x:v>
      </x:c>
      <x:c r="H7" s="24" t="n">
        <x:v>46273.05694444444</x:v>
      </x:c>
      <x:c r="I7" s="22" t="str">
        <x:v>zap-session-002</x:v>
      </x:c>
      <x:c r="J7" s="22" t="str">
        <x:v>2.16.1</x:v>
      </x:c>
      <x:c r="K7" s="22" t="n">
        <x:v>17</x:v>
      </x:c>
      <x:c r="L7" s="22" t="str">
        <x:v>ZAP_CONNECTION_LOST</x:v>
      </x:c>
      <x:c r="M7" s="25" t="str">
        <x:v>Mất kết nối với tiến trình ZAP</x:v>
      </x:c>
      <x:c r="N7" s="22" t="str">
        <x:v>Not Received</x:v>
      </x:c>
      <x:c r="O7" s="25"/>
      <x:c r="P7" s="22"/>
      <x:c r="Q7" s="22"/>
      <x:c r="R7" s="22"/>
      <x:c r="S7" s="22"/>
      <x:c r="T7" s="24"/>
      <x:c r="U7" s="22"/>
      <x:c r="V7" s="22"/>
      <x:c r="W7" s="22"/>
      <x:c r="X7" s="25"/>
      <x:c r="Y7" s="22"/>
      <x:c r="Z7" s="24"/>
    </x:row>
    <x:row r="8" ht="15" hidden="0" customHeight="1">
      <x:c r="A8" s="22" t="n">
        <x:v>4003</x:v>
      </x:c>
      <x:c r="B8" s="22" t="n">
        <x:v>3002</x:v>
      </x:c>
      <x:c r="C8" s="22" t="str">
        <x:v>RUN-PORTAL-20260903</x:v>
      </x:c>
      <x:c r="D8" s="24" t="n">
        <x:v>46268.041666666664</x:v>
      </x:c>
      <x:c r="E8" s="22" t="str">
        <x:v>Completed</x:v>
      </x:c>
      <x:c r="F8" s="24" t="n">
        <x:v>46268.041666666664</x:v>
      </x:c>
      <x:c r="G8" s="24" t="n">
        <x:v>46268.114583333336</x:v>
      </x:c>
      <x:c r="H8" s="24" t="n">
        <x:v>46268.118055555555</x:v>
      </x:c>
      <x:c r="I8" s="22" t="str">
        <x:v>zap-session-003</x:v>
      </x:c>
      <x:c r="J8" s="22" t="str">
        <x:v>2.16.1</x:v>
      </x:c>
      <x:c r="K8" s="22" t="n">
        <x:v>0</x:v>
      </x:c>
      <x:c r="L8" s="22"/>
      <x:c r="M8" s="25"/>
      <x:c r="N8" s="22" t="str">
        <x:v>Processed</x:v>
      </x:c>
      <x:c r="O8" s="25" t="str">
        <x:v>reports/portal/20260903.json</x:v>
      </x:c>
      <x:c r="P8" s="22" t="str">
        <x:v>ffffffffffffffffffffffffffffffffffffffffffffffffffffffffffffffff</x:v>
      </x:c>
      <x:c r="Q8" s="22" t="n">
        <x:v>196608</x:v>
      </x:c>
      <x:c r="R8" s="22" t="str">
        <x:v>JSON</x:v>
      </x:c>
      <x:c r="S8" s="22" t="str">
        <x:v>kms://demo/report-key</x:v>
      </x:c>
      <x:c r="T8" s="24" t="n">
        <x:v>46268.125</x:v>
      </x:c>
      <x:c r="U8" s="22"/>
      <x:c r="V8" s="22"/>
      <x:c r="W8" s="22"/>
      <x:c r="X8" s="25"/>
      <x:c r="Y8" s="22"/>
      <x:c r="Z8" s="24"/>
    </x:row>
    <x:row r="9" ht="24" hidden="0" customHeight="1">
      <x:c r="A9" s="22" t="n">
        <x:v>4004</x:v>
      </x:c>
      <x:c r="B9" s="22" t="n">
        <x:v>3003</x:v>
      </x:c>
      <x:c r="C9" s="22" t="str">
        <x:v>RUN-VERIFY-SHOP-001</x:v>
      </x:c>
      <x:c r="D9" s="24" t="n">
        <x:v>46280.041666666664</x:v>
      </x:c>
      <x:c r="E9" s="22" t="str">
        <x:v>Completed</x:v>
      </x:c>
      <x:c r="F9" s="24" t="n">
        <x:v>46280.041666666664</x:v>
      </x:c>
      <x:c r="G9" s="24" t="n">
        <x:v>46280.125</x:v>
      </x:c>
      <x:c r="H9" s="24" t="n">
        <x:v>46280.12847222222</x:v>
      </x:c>
      <x:c r="I9" s="22" t="str">
        <x:v>zap-session-004</x:v>
      </x:c>
      <x:c r="J9" s="22" t="str">
        <x:v>2.16.1</x:v>
      </x:c>
      <x:c r="K9" s="22" t="n">
        <x:v>0</x:v>
      </x:c>
      <x:c r="L9" s="22"/>
      <x:c r="M9" s="25"/>
      <x:c r="N9" s="22" t="str">
        <x:v>Processed</x:v>
      </x:c>
      <x:c r="O9" s="25" t="str">
        <x:v>reports/shop/verify-5001.json</x:v>
      </x:c>
      <x:c r="P9" s="22" t="str">
        <x:v>9a9a9a9a9a9a9a9a9a9a9a9a9a9a9a9a9a9a9a9a9a9a9a9a9a9a9a9a9a9a9a9a</x:v>
      </x:c>
      <x:c r="Q9" s="22" t="n">
        <x:v>131072</x:v>
      </x:c>
      <x:c r="R9" s="22" t="str">
        <x:v>JSON</x:v>
      </x:c>
      <x:c r="S9" s="22" t="str">
        <x:v>kms://demo/report-key</x:v>
      </x:c>
      <x:c r="T9" s="24" t="n">
        <x:v>46280.131944444445</x:v>
      </x:c>
      <x:c r="U9" s="23" t="b">
        <x:v>1</x:v>
      </x:c>
      <x:c r="V9" s="23" t="b">
        <x:v>0</x:v>
      </x:c>
      <x:c r="W9" s="22" t="str">
        <x:v>Closed</x:v>
      </x:c>
      <x:c r="X9" s="25" t="str">
        <x:v>Bao phủ đúng endpoint và không còn fingerprint</x:v>
      </x:c>
      <x:c r="Y9" s="22" t="n">
        <x:v>3</x:v>
      </x:c>
      <x:c r="Z9" s="24" t="n">
        <x:v>46280.1875</x:v>
      </x:c>
    </x:row>
    <x:row r="10" ht="15" hidden="0" customHeight="1">
      <x:c r="A10" s="22" t="n">
        <x:v>4005</x:v>
      </x:c>
      <x:c r="B10" s="22" t="n">
        <x:v>3002</x:v>
      </x:c>
      <x:c r="C10" s="22" t="str">
        <x:v>RUN-PORTAL-20260920</x:v>
      </x:c>
      <x:c r="D10" s="24" t="n">
        <x:v>46285.041666666664</x:v>
      </x:c>
      <x:c r="E10" s="22" t="str">
        <x:v>Running</x:v>
      </x:c>
      <x:c r="F10" s="24" t="n">
        <x:v>46285.041666666664</x:v>
      </x:c>
      <x:c r="G10" s="24" t="n">
        <x:v>46285.104166666664</x:v>
      </x:c>
      <x:c r="H10" s="24"/>
      <x:c r="I10" s="22" t="str">
        <x:v>zap-session-005</x:v>
      </x:c>
      <x:c r="J10" s="22" t="str">
        <x:v>2.16.1</x:v>
      </x:c>
      <x:c r="K10" s="22"/>
      <x:c r="L10" s="22"/>
      <x:c r="M10" s="25"/>
      <x:c r="N10" s="22" t="str">
        <x:v>Not Received</x:v>
      </x:c>
      <x:c r="O10" s="25"/>
      <x:c r="P10" s="22"/>
      <x:c r="Q10" s="22"/>
      <x:c r="R10" s="22"/>
      <x:c r="S10" s="22"/>
      <x:c r="T10" s="24"/>
      <x:c r="U10" s="22"/>
      <x:c r="V10" s="22"/>
      <x:c r="W10" s="22"/>
      <x:c r="X10" s="25"/>
      <x:c r="Y10" s="22"/>
      <x:c r="Z10" s="24"/>
    </x:row>
  </x:sheetData>
  <x:conditionalFormatting sqref="E6:E10">
    <x:cfRule type="containsText" dxfId="85" priority="1" operator="containsText" text="Active"/>
    <x:cfRule type="containsText" dxfId="86" priority="2" operator="containsText" text="Approved"/>
    <x:cfRule type="containsText" dxfId="87" priority="3" operator="containsText" text="Completed"/>
    <x:cfRule type="containsText" dxfId="88" priority="4" operator="containsText" text="Processed"/>
    <x:cfRule type="containsText" dxfId="89" priority="5" operator="containsText" text="Closed"/>
    <x:cfRule type="containsText" dxfId="90" priority="6" operator="containsText" text="Success"/>
    <x:cfRule type="containsText" dxfId="91" priority="7" operator="containsText" text="Include"/>
    <x:cfRule type="containsText" dxfId="92" priority="8" operator="containsText" text="Failed"/>
    <x:cfRule type="containsText" dxfId="93" priority="9" operator="containsText" text="Failure"/>
    <x:cfRule type="containsText" dxfId="94" priority="10" operator="containsText" text="Critical"/>
    <x:cfRule type="containsText" dxfId="95" priority="11" operator="containsText" text="Rejected"/>
    <x:cfRule type="containsText" dxfId="96" priority="12" operator="containsText" text="Exclude"/>
    <x:cfRule type="containsText" dxfId="97" priority="13" operator="containsText" text="Suspended"/>
    <x:cfRule type="containsText" dxfId="98" priority="14" operator="containsText" text="Running"/>
    <x:cfRule type="containsText" dxfId="99" priority="15" operator="containsText" text="In Progress"/>
    <x:cfRule type="containsText" dxfId="100" priority="16" operator="containsText" text="High"/>
    <x:cfRule type="containsText" dxfId="101" priority="17" operator="containsText" text="Not Received"/>
  </x:conditionalFormatting>
  <x:conditionalFormatting sqref="N6:N10">
    <x:cfRule type="containsText" dxfId="102" priority="18" operator="containsText" text="Active"/>
    <x:cfRule type="containsText" dxfId="103" priority="19" operator="containsText" text="Approved"/>
    <x:cfRule type="containsText" dxfId="104" priority="20" operator="containsText" text="Completed"/>
    <x:cfRule type="containsText" dxfId="105" priority="21" operator="containsText" text="Processed"/>
    <x:cfRule type="containsText" dxfId="106" priority="22" operator="containsText" text="Closed"/>
    <x:cfRule type="containsText" dxfId="107" priority="23" operator="containsText" text="Success"/>
    <x:cfRule type="containsText" dxfId="108" priority="24" operator="containsText" text="Include"/>
    <x:cfRule type="containsText" dxfId="109" priority="25" operator="containsText" text="Failed"/>
    <x:cfRule type="containsText" dxfId="110" priority="26" operator="containsText" text="Failure"/>
    <x:cfRule type="containsText" dxfId="111" priority="27" operator="containsText" text="Critical"/>
    <x:cfRule type="containsText" dxfId="112" priority="28" operator="containsText" text="Rejected"/>
    <x:cfRule type="containsText" dxfId="113" priority="29" operator="containsText" text="Exclude"/>
    <x:cfRule type="containsText" dxfId="114" priority="30" operator="containsText" text="Suspended"/>
    <x:cfRule type="containsText" dxfId="115" priority="31" operator="containsText" text="Running"/>
    <x:cfRule type="containsText" dxfId="116" priority="32" operator="containsText" text="In Progress"/>
    <x:cfRule type="containsText" dxfId="117" priority="33" operator="containsText" text="High"/>
    <x:cfRule type="containsText" dxfId="118" priority="34" operator="containsText" text="Not Received"/>
  </x:conditionalFormatting>
  <x:conditionalFormatting sqref="W6:W10">
    <x:cfRule type="containsText" dxfId="119" priority="35" operator="containsText" text="Active"/>
    <x:cfRule type="containsText" dxfId="120" priority="36" operator="containsText" text="Approved"/>
    <x:cfRule type="containsText" dxfId="121" priority="37" operator="containsText" text="Completed"/>
    <x:cfRule type="containsText" dxfId="122" priority="38" operator="containsText" text="Processed"/>
    <x:cfRule type="containsText" dxfId="123" priority="39" operator="containsText" text="Closed"/>
    <x:cfRule type="containsText" dxfId="124" priority="40" operator="containsText" text="Success"/>
    <x:cfRule type="containsText" dxfId="125" priority="41" operator="containsText" text="Include"/>
    <x:cfRule type="containsText" dxfId="126" priority="42" operator="containsText" text="Failed"/>
    <x:cfRule type="containsText" dxfId="127" priority="43" operator="containsText" text="Failure"/>
    <x:cfRule type="containsText" dxfId="128" priority="44" operator="containsText" text="Critical"/>
    <x:cfRule type="containsText" dxfId="129" priority="45" operator="containsText" text="Rejected"/>
    <x:cfRule type="containsText" dxfId="130" priority="46" operator="containsText" text="Exclude"/>
    <x:cfRule type="containsText" dxfId="131" priority="47" operator="containsText" text="Suspended"/>
    <x:cfRule type="containsText" dxfId="132" priority="48" operator="containsText" text="Running"/>
    <x:cfRule type="containsText" dxfId="133" priority="49" operator="containsText" text="In Progress"/>
    <x:cfRule type="containsText" dxfId="134" priority="50" operator="containsText" text="High"/>
    <x:cfRule type="containsText" dxfId="135" priority="51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ecf72ca9f74247f7"/>
  </x:tableParts>
</x:worksheet>
</file>

<file path=xl/worksheets/sheet11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24" hidden="0" customWidth="1"/>
    <x:col min="5" max="5" width="18" hidden="0" customWidth="1"/>
    <x:col min="6" max="6" width="30" hidden="0" customWidth="1"/>
    <x:col min="7" max="7" width="30" hidden="0" customWidth="1"/>
    <x:col min="8" max="8" width="13" hidden="0" customWidth="1"/>
    <x:col min="9" max="9" width="30" hidden="0" customWidth="1"/>
    <x:col min="10" max="10" width="16" hidden="0" customWidth="1"/>
    <x:col min="11" max="11" width="30" hidden="0" customWidth="1"/>
    <x:col min="12" max="12" width="13" hidden="0" customWidth="1"/>
    <x:col min="13" max="13" width="34" hidden="0" customWidth="1"/>
    <x:col min="14" max="14" width="16" hidden="0" customWidth="1"/>
    <x:col min="15" max="15" width="30" hidden="0" customWidth="1"/>
    <x:col min="16" max="16" width="13" hidden="0" customWidth="1"/>
    <x:col min="17" max="17" width="34" hidden="0" customWidth="1"/>
    <x:col min="18" max="18" width="34" hidden="0" customWidth="1"/>
    <x:col min="19" max="19" width="12" hidden="0" customWidth="1"/>
  </x:cols>
  <x:sheetData>
    <x:row r="2">
      <x:c r="A2" s="3" t="str">
        <x:v>finding — phát hiện chuẩn hóa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>
      <x:c r="A3" s="2" t="str">
        <x:v>Final Severity là quyết định nghiệp vụ, tách biệt với Source Severity từ ZAP.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5" ht="32" hidden="0" customHeight="1">
      <x:c r="A5" s="17" t="str">
        <x:v>id</x:v>
      </x:c>
      <x:c r="B5" s="18" t="str">
        <x:v>asset_id</x:v>
      </x:c>
      <x:c r="C5" s="18" t="str">
        <x:v>code</x:v>
      </x:c>
      <x:c r="D5" s="18" t="str">
        <x:v>fingerprint</x:v>
      </x:c>
      <x:c r="E5" s="18" t="str">
        <x:v>source_alert_ref</x:v>
      </x:c>
      <x:c r="F5" s="18" t="str">
        <x:v>affected_url_masked</x:v>
      </x:c>
      <x:c r="G5" s="18" t="str">
        <x:v>parameter_masked</x:v>
      </x:c>
      <x:c r="H5" s="18" t="str">
        <x:v>http_method</x:v>
      </x:c>
      <x:c r="I5" s="18" t="str">
        <x:v>title_masked</x:v>
      </x:c>
      <x:c r="J5" s="18" t="str">
        <x:v>final_severity</x:v>
      </x:c>
      <x:c r="K5" s="18" t="str">
        <x:v>severity_reason</x:v>
      </x:c>
      <x:c r="L5" s="18" t="str">
        <x:v>assessed_by</x:v>
      </x:c>
      <x:c r="M5" s="18" t="str">
        <x:v>assessed_at</x:v>
      </x:c>
      <x:c r="N5" s="18" t="str">
        <x:v>status</x:v>
      </x:c>
      <x:c r="O5" s="18" t="str">
        <x:v>decision_reason</x:v>
      </x:c>
      <x:c r="P5" s="18" t="str">
        <x:v>decision_by</x:v>
      </x:c>
      <x:c r="Q5" s="18" t="str">
        <x:v>decision_at</x:v>
      </x:c>
      <x:c r="R5" s="18" t="str">
        <x:v>created_at</x:v>
      </x:c>
      <x:c r="S5" s="19" t="str">
        <x:v>row_version</x:v>
      </x:c>
    </x:row>
    <x:row r="6" ht="24" hidden="0" customHeight="1">
      <x:c r="A6" s="22" t="n">
        <x:v>5001</x:v>
      </x:c>
      <x:c r="B6" s="22" t="n">
        <x:v>101</x:v>
      </x:c>
      <x:c r="C6" s="22" t="str">
        <x:v>FIND-SHOP-001</x:v>
      </x:c>
      <x:c r="D6" s="22" t="str">
        <x:v>aaaaaaaaaaaaaaaaaaaaaaaaaaaaaaaaaaaaaaaaaaaaaaaaaaaaaaaaaaaaaaaa</x:v>
      </x:c>
      <x:c r="E6" s="22" t="str">
        <x:v>40018</x:v>
      </x:c>
      <x:c r="F6" s="25" t="str">
        <x:v>https://shop.example.vn/api/orders/{id}</x:v>
      </x:c>
      <x:c r="G6" s="25" t="str">
        <x:v>id</x:v>
      </x:c>
      <x:c r="H6" s="22" t="str">
        <x:v>GET</x:v>
      </x:c>
      <x:c r="I6" s="25" t="str">
        <x:v>SQL Injection tại API đơn hàng</x:v>
      </x:c>
      <x:c r="J6" s="22" t="str">
        <x:v>High</x:v>
      </x:c>
      <x:c r="K6" s="25" t="str">
        <x:v>Có thể truy cập dữ liệu đơn hàng trái phép</x:v>
      </x:c>
      <x:c r="L6" s="22" t="n">
        <x:v>3</x:v>
      </x:c>
      <x:c r="M6" s="24" t="n">
        <x:v>46266.166666666664</x:v>
      </x:c>
      <x:c r="N6" s="22" t="str">
        <x:v>Closed</x:v>
      </x:c>
      <x:c r="O6" s="25" t="str">
        <x:v>Quét xác minh không còn dấu vân tay</x:v>
      </x:c>
      <x:c r="P6" s="22" t="n">
        <x:v>3</x:v>
      </x:c>
      <x:c r="Q6" s="24" t="n">
        <x:v>46280.1875</x:v>
      </x:c>
      <x:c r="R6" s="24" t="n">
        <x:v>46266.145833333336</x:v>
      </x:c>
      <x:c r="S6" s="22" t="n">
        <x:v>4</x:v>
      </x:c>
    </x:row>
    <x:row r="7" ht="24" hidden="0" customHeight="1">
      <x:c r="A7" s="22" t="n">
        <x:v>5002</x:v>
      </x:c>
      <x:c r="B7" s="22" t="n">
        <x:v>101</x:v>
      </x:c>
      <x:c r="C7" s="22" t="str">
        <x:v>FIND-SHOP-002</x:v>
      </x:c>
      <x:c r="D7" s="22" t="str">
        <x:v>bbbbbbbbbbbbbbbbbbbbbbbbbbbbbbbbbbbbbbbbbbbbbbbbbbbbbbbbbbbbbbbb</x:v>
      </x:c>
      <x:c r="E7" s="22" t="str">
        <x:v>10021</x:v>
      </x:c>
      <x:c r="F7" s="25" t="str">
        <x:v>https://shop.example.vn/</x:v>
      </x:c>
      <x:c r="G7" s="25"/>
      <x:c r="H7" s="22" t="str">
        <x:v>GET</x:v>
      </x:c>
      <x:c r="I7" s="25" t="str">
        <x:v>Thiếu Content-Security-Policy</x:v>
      </x:c>
      <x:c r="J7" s="22" t="str">
        <x:v>Medium</x:v>
      </x:c>
      <x:c r="K7" s="25" t="str">
        <x:v>Tăng nguy cơ khai thác nội dung phía trình duyệt</x:v>
      </x:c>
      <x:c r="L7" s="22" t="n">
        <x:v>3</x:v>
      </x:c>
      <x:c r="M7" s="24" t="n">
        <x:v>46266.17361111111</x:v>
      </x:c>
      <x:c r="N7" s="22" t="str">
        <x:v>In Progress</x:v>
      </x:c>
      <x:c r="O7" s="25"/>
      <x:c r="P7" s="22"/>
      <x:c r="Q7" s="24"/>
      <x:c r="R7" s="24" t="n">
        <x:v>46266.149305555555</x:v>
      </x:c>
      <x:c r="S7" s="22" t="n">
        <x:v>2</x:v>
      </x:c>
    </x:row>
    <x:row r="8" ht="15" hidden="0" customHeight="1">
      <x:c r="A8" s="22" t="n">
        <x:v>5003</x:v>
      </x:c>
      <x:c r="B8" s="22" t="n">
        <x:v>102</x:v>
      </x:c>
      <x:c r="C8" s="22" t="str">
        <x:v>FIND-PORTAL-001</x:v>
      </x:c>
      <x:c r="D8" s="22" t="str">
        <x:v>cccccccccccccccccccccccccccccccccccccccccccccccccccccccccccccccc</x:v>
      </x:c>
      <x:c r="E8" s="22" t="str">
        <x:v>40012</x:v>
      </x:c>
      <x:c r="F8" s="25" t="str">
        <x:v>https://portal.example.vn/search</x:v>
      </x:c>
      <x:c r="G8" s="25" t="str">
        <x:v>q</x:v>
      </x:c>
      <x:c r="H8" s="22" t="str">
        <x:v>GET</x:v>
      </x:c>
      <x:c r="I8" s="25" t="str">
        <x:v>Cross Site Scripting phản xạ</x:v>
      </x:c>
      <x:c r="J8" s="22" t="str">
        <x:v>Critical</x:v>
      </x:c>
      <x:c r="K8" s="25" t="str">
        <x:v>Cổng Internet xử lý dữ liệu khách hàng</x:v>
      </x:c>
      <x:c r="L8" s="22" t="n">
        <x:v>3</x:v>
      </x:c>
      <x:c r="M8" s="24" t="n">
        <x:v>46268.166666666664</x:v>
      </x:c>
      <x:c r="N8" s="22" t="str">
        <x:v>Assigned</x:v>
      </x:c>
      <x:c r="O8" s="25"/>
      <x:c r="P8" s="22"/>
      <x:c r="Q8" s="24"/>
      <x:c r="R8" s="24" t="n">
        <x:v>46268.145833333336</x:v>
      </x:c>
      <x:c r="S8" s="22" t="n">
        <x:v>2</x:v>
      </x:c>
    </x:row>
    <x:row r="9" ht="24" hidden="0" customHeight="1">
      <x:c r="A9" s="22" t="n">
        <x:v>5004</x:v>
      </x:c>
      <x:c r="B9" s="22" t="n">
        <x:v>102</x:v>
      </x:c>
      <x:c r="C9" s="22" t="str">
        <x:v>FIND-PORTAL-002</x:v>
      </x:c>
      <x:c r="D9" s="22" t="str">
        <x:v>dddddddddddddddddddddddddddddddddddddddddddddddddddddddddddddddd</x:v>
      </x:c>
      <x:c r="E9" s="22" t="str">
        <x:v>10096</x:v>
      </x:c>
      <x:c r="F9" s="25" t="str">
        <x:v>https://portal.example.vn/</x:v>
      </x:c>
      <x:c r="G9" s="25"/>
      <x:c r="H9" s="22" t="str">
        <x:v>GET</x:v>
      </x:c>
      <x:c r="I9" s="25" t="str">
        <x:v>Timestamp Disclosure</x:v>
      </x:c>
      <x:c r="J9" s="22" t="str">
        <x:v>Informational</x:v>
      </x:c>
      <x:c r="K9" s="25" t="str">
        <x:v>Không tạo ảnh hưởng bảo mật đáng kể</x:v>
      </x:c>
      <x:c r="L9" s="22" t="n">
        <x:v>3</x:v>
      </x:c>
      <x:c r="M9" s="24" t="n">
        <x:v>46268.17013888889</x:v>
      </x:c>
      <x:c r="N9" s="22" t="str">
        <x:v>False Positive</x:v>
      </x:c>
      <x:c r="O9" s="25" t="str">
        <x:v>Không xác định được phiên bản hệ thống</x:v>
      </x:c>
      <x:c r="P9" s="22" t="n">
        <x:v>3</x:v>
      </x:c>
      <x:c r="Q9" s="24" t="n">
        <x:v>46268.180555555555</x:v>
      </x:c>
      <x:c r="R9" s="24" t="n">
        <x:v>46268.149305555555</x:v>
      </x:c>
      <x:c r="S9" s="22" t="n">
        <x:v>2</x:v>
      </x:c>
    </x:row>
  </x:sheetData>
  <x:conditionalFormatting sqref="N6:N9">
    <x:cfRule type="containsText" dxfId="136" priority="1" operator="containsText" text="Active"/>
    <x:cfRule type="containsText" dxfId="137" priority="2" operator="containsText" text="Approved"/>
    <x:cfRule type="containsText" dxfId="138" priority="3" operator="containsText" text="Completed"/>
    <x:cfRule type="containsText" dxfId="139" priority="4" operator="containsText" text="Processed"/>
    <x:cfRule type="containsText" dxfId="140" priority="5" operator="containsText" text="Closed"/>
    <x:cfRule type="containsText" dxfId="141" priority="6" operator="containsText" text="Success"/>
    <x:cfRule type="containsText" dxfId="142" priority="7" operator="containsText" text="Include"/>
    <x:cfRule type="containsText" dxfId="143" priority="8" operator="containsText" text="Failed"/>
    <x:cfRule type="containsText" dxfId="144" priority="9" operator="containsText" text="Failure"/>
    <x:cfRule type="containsText" dxfId="145" priority="10" operator="containsText" text="Critical"/>
    <x:cfRule type="containsText" dxfId="146" priority="11" operator="containsText" text="Rejected"/>
    <x:cfRule type="containsText" dxfId="147" priority="12" operator="containsText" text="Exclude"/>
    <x:cfRule type="containsText" dxfId="148" priority="13" operator="containsText" text="Suspended"/>
    <x:cfRule type="containsText" dxfId="149" priority="14" operator="containsText" text="Running"/>
    <x:cfRule type="containsText" dxfId="150" priority="15" operator="containsText" text="In Progress"/>
    <x:cfRule type="containsText" dxfId="151" priority="16" operator="containsText" text="High"/>
    <x:cfRule type="containsText" dxfId="152" priority="17" operator="containsText" text="Not Received"/>
  </x:conditionalFormatting>
  <x:conditionalFormatting sqref="J6:J9">
    <x:cfRule type="containsText" dxfId="153" priority="18" operator="containsText" text="Active"/>
    <x:cfRule type="containsText" dxfId="154" priority="19" operator="containsText" text="Approved"/>
    <x:cfRule type="containsText" dxfId="155" priority="20" operator="containsText" text="Completed"/>
    <x:cfRule type="containsText" dxfId="156" priority="21" operator="containsText" text="Processed"/>
    <x:cfRule type="containsText" dxfId="157" priority="22" operator="containsText" text="Closed"/>
    <x:cfRule type="containsText" dxfId="158" priority="23" operator="containsText" text="Success"/>
    <x:cfRule type="containsText" dxfId="159" priority="24" operator="containsText" text="Include"/>
    <x:cfRule type="containsText" dxfId="160" priority="25" operator="containsText" text="Failed"/>
    <x:cfRule type="containsText" dxfId="161" priority="26" operator="containsText" text="Failure"/>
    <x:cfRule type="containsText" dxfId="162" priority="27" operator="containsText" text="Critical"/>
    <x:cfRule type="containsText" dxfId="163" priority="28" operator="containsText" text="Rejected"/>
    <x:cfRule type="containsText" dxfId="164" priority="29" operator="containsText" text="Exclude"/>
    <x:cfRule type="containsText" dxfId="165" priority="30" operator="containsText" text="Suspended"/>
    <x:cfRule type="containsText" dxfId="166" priority="31" operator="containsText" text="Running"/>
    <x:cfRule type="containsText" dxfId="167" priority="32" operator="containsText" text="In Progress"/>
    <x:cfRule type="containsText" dxfId="168" priority="33" operator="containsText" text="High"/>
    <x:cfRule type="containsText" dxfId="169" priority="34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473a5bdade0140af"/>
  </x:tableParts>
</x:worksheet>
</file>

<file path=xl/worksheets/sheet1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0" hidden="0" customWidth="1"/>
    <x:col min="5" max="5" width="17" hidden="0" customWidth="1"/>
    <x:col min="6" max="6" width="19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2">
      <x:c r="A2" s="3" t="str">
        <x:v>finding_occurrence — lần xuất hiện của phát hiện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2" t="str">
        <x:v>Bảng nối N–N giữa finding và scan_run; giữ dữ liệu nguồn thay đổi theo từng lần quét.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ht="32" hidden="0" customHeight="1">
      <x:c r="A5" s="17" t="str">
        <x:v>id</x:v>
      </x:c>
      <x:c r="B5" s="18" t="str">
        <x:v>finding_id</x:v>
      </x:c>
      <x:c r="C5" s="18" t="str">
        <x:v>scan_run_id</x:v>
      </x:c>
      <x:c r="D5" s="18" t="str">
        <x:v>record_locator</x:v>
      </x:c>
      <x:c r="E5" s="18" t="str">
        <x:v>source_severity</x:v>
      </x:c>
      <x:c r="F5" s="18" t="str">
        <x:v>source_confidence</x:v>
      </x:c>
      <x:c r="G5" s="18" t="str">
        <x:v>source_attack_masked</x:v>
      </x:c>
      <x:c r="H5" s="18" t="str">
        <x:v>source_evidence_masked</x:v>
      </x:c>
      <x:c r="I5" s="18" t="str">
        <x:v>description_masked</x:v>
      </x:c>
      <x:c r="J5" s="18" t="str">
        <x:v>remediation_guidance_masked</x:v>
      </x:c>
      <x:c r="K5" s="18" t="str">
        <x:v>cwe_id</x:v>
      </x:c>
      <x:c r="L5" s="18" t="str">
        <x:v>wasc_id</x:v>
      </x:c>
      <x:c r="M5" s="19" t="str">
        <x:v>created_at</x:v>
      </x:c>
    </x:row>
    <x:row r="6" ht="24" hidden="0" customHeight="1">
      <x:c r="A6" s="22" t="n">
        <x:v>7001</x:v>
      </x:c>
      <x:c r="B6" s="22" t="n">
        <x:v>5001</x:v>
      </x:c>
      <x:c r="C6" s="22" t="n">
        <x:v>4001</x:v>
      </x:c>
      <x:c r="D6" s="22" t="str">
        <x:v>/site/0/alerts/0/instances/0</x:v>
      </x:c>
      <x:c r="E6" s="22" t="str">
        <x:v>High</x:v>
      </x:c>
      <x:c r="F6" s="22" t="n">
        <x:v>3</x:v>
      </x:c>
      <x:c r="G6" s="25" t="str">
        <x:v>' OR 1=1 --</x:v>
      </x:c>
      <x:c r="H6" s="25" t="str">
        <x:v>Phản hồi khác biệt cho đầu vào kiểm thử</x:v>
      </x:c>
      <x:c r="I6" s="25" t="str">
        <x:v>Tham số đường dẫn có dấu hiệu được ghép vào truy vấn</x:v>
      </x:c>
      <x:c r="J6" s="25" t="str">
        <x:v>Dùng prepared statement và kiểm tra kiểu dữ liệu</x:v>
      </x:c>
      <x:c r="K6" s="22" t="n">
        <x:v>89</x:v>
      </x:c>
      <x:c r="L6" s="22" t="n">
        <x:v>19</x:v>
      </x:c>
      <x:c r="M6" s="24" t="n">
        <x:v>46266.145833333336</x:v>
      </x:c>
    </x:row>
    <x:row r="7" ht="24" hidden="0" customHeight="1">
      <x:c r="A7" s="22" t="n">
        <x:v>7002</x:v>
      </x:c>
      <x:c r="B7" s="22" t="n">
        <x:v>5002</x:v>
      </x:c>
      <x:c r="C7" s="22" t="n">
        <x:v>4001</x:v>
      </x:c>
      <x:c r="D7" s="22" t="str">
        <x:v>/site/0/alerts/1/instances/0</x:v>
      </x:c>
      <x:c r="E7" s="22" t="str">
        <x:v>Medium</x:v>
      </x:c>
      <x:c r="F7" s="22" t="n">
        <x:v>2</x:v>
      </x:c>
      <x:c r="G7" s="25"/>
      <x:c r="H7" s="25" t="str">
        <x:v>Không có header Content-Security-Policy</x:v>
      </x:c>
      <x:c r="I7" s="25" t="str">
        <x:v>Phản hồi chưa cấu hình CSP</x:v>
      </x:c>
      <x:c r="J7" s="25" t="str">
        <x:v>Triển khai CSP từ report-only đến enforce</x:v>
      </x:c>
      <x:c r="K7" s="22" t="n">
        <x:v>693</x:v>
      </x:c>
      <x:c r="L7" s="22" t="n">
        <x:v>15</x:v>
      </x:c>
      <x:c r="M7" s="24" t="n">
        <x:v>46266.149305555555</x:v>
      </x:c>
    </x:row>
    <x:row r="8" ht="24" hidden="0" customHeight="1">
      <x:c r="A8" s="22" t="n">
        <x:v>7003</x:v>
      </x:c>
      <x:c r="B8" s="22" t="n">
        <x:v>5003</x:v>
      </x:c>
      <x:c r="C8" s="22" t="n">
        <x:v>4003</x:v>
      </x:c>
      <x:c r="D8" s="22" t="str">
        <x:v>/site/0/alerts/0/instances/0</x:v>
      </x:c>
      <x:c r="E8" s="22" t="str">
        <x:v>High</x:v>
      </x:c>
      <x:c r="F8" s="22" t="n">
        <x:v>3</x:v>
      </x:c>
      <x:c r="G8" s="25" t="str">
        <x:v>&lt;script&gt;...&lt;/script&gt;</x:v>
      </x:c>
      <x:c r="H8" s="25" t="str">
        <x:v>Chuỗi kiểm thử xuất hiện trong HTML</x:v>
      </x:c>
      <x:c r="I8" s="25" t="str">
        <x:v>Dữ liệu query được phản hồi mà chưa encode</x:v>
      </x:c>
      <x:c r="J8" s="25" t="str">
        <x:v>Output encoding và validation theo ngữ cảnh</x:v>
      </x:c>
      <x:c r="K8" s="22" t="n">
        <x:v>79</x:v>
      </x:c>
      <x:c r="L8" s="22" t="n">
        <x:v>8</x:v>
      </x:c>
      <x:c r="M8" s="24" t="n">
        <x:v>46268.145833333336</x:v>
      </x:c>
    </x:row>
    <x:row r="9" ht="24" hidden="0" customHeight="1">
      <x:c r="A9" s="22" t="n">
        <x:v>7004</x:v>
      </x:c>
      <x:c r="B9" s="22" t="n">
        <x:v>5004</x:v>
      </x:c>
      <x:c r="C9" s="22" t="n">
        <x:v>4003</x:v>
      </x:c>
      <x:c r="D9" s="22" t="str">
        <x:v>/site/0/alerts/1/instances/0</x:v>
      </x:c>
      <x:c r="E9" s="22" t="str">
        <x:v>Informational</x:v>
      </x:c>
      <x:c r="F9" s="22" t="n">
        <x:v>1</x:v>
      </x:c>
      <x:c r="G9" s="25"/>
      <x:c r="H9" s="25" t="str">
        <x:v>Phản hồi chứa chuỗi giống timestamp</x:v>
      </x:c>
      <x:c r="I9" s="25" t="str">
        <x:v>Quan sát thông tin thời gian trong phản hồi</x:v>
      </x:c>
      <x:c r="J9" s="25" t="str">
        <x:v>Không cần xử lý sau khi rà soát</x:v>
      </x:c>
      <x:c r="K9" s="22" t="n">
        <x:v>200</x:v>
      </x:c>
      <x:c r="L9" s="22" t="n">
        <x:v>13</x:v>
      </x:c>
      <x:c r="M9" s="24" t="n">
        <x:v>46268.149305555555</x:v>
      </x:c>
    </x:row>
  </x:sheetData>
  <x:pageMargins left="0.7" right="0.7" top="0.75" bottom="0.75" header="0.3" footer="0.3"/>
  <x:tableParts count="1">
    <x:tablePart xmlns:r="http://schemas.openxmlformats.org/officeDocument/2006/relationships" r:id="R825bc27cf7854f9e"/>
  </x:tableParts>
</x:worksheet>
</file>

<file path=xl/worksheets/sheet13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34" hidden="0" customWidth="1"/>
    <x:col min="8" max="8" width="18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24" hidden="0" customWidth="1"/>
    <x:col min="14" max="14" width="25" hidden="0" customWidth="1"/>
    <x:col min="15" max="15" width="34" hidden="0" customWidth="1"/>
    <x:col min="16" max="16" width="12" hidden="0" customWidth="1"/>
    <x:col min="17" max="17" width="34" hidden="0" customWidth="1"/>
    <x:col min="18" max="18" width="12" hidden="0" customWidth="1"/>
    <x:col min="19" max="19" width="34" hidden="0" customWidth="1"/>
  </x:cols>
  <x:sheetData>
    <x:row r="2">
      <x:c r="A2" s="3" t="str">
        <x:v>remediation_ticket — phiếu khắc phục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>
      <x:c r="A3" s="2" t="str">
        <x:v>Trạng thái workflow lấy từ finding.status; lịch sử thay đổi nằm trong audit_log.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5" ht="32" hidden="0" customHeight="1">
      <x:c r="A5" s="17" t="str">
        <x:v>id</x:v>
      </x:c>
      <x:c r="B5" s="18" t="str">
        <x:v>finding_id</x:v>
      </x:c>
      <x:c r="C5" s="18" t="str">
        <x:v>code</x:v>
      </x:c>
      <x:c r="D5" s="18" t="str">
        <x:v>assignee_id</x:v>
      </x:c>
      <x:c r="E5" s="18" t="str">
        <x:v>assigned_by</x:v>
      </x:c>
      <x:c r="F5" s="18" t="str">
        <x:v>assigned_at</x:v>
      </x:c>
      <x:c r="G5" s="18" t="str">
        <x:v>due_at</x:v>
      </x:c>
      <x:c r="H5" s="18" t="str">
        <x:v>progress_percent</x:v>
      </x:c>
      <x:c r="I5" s="18" t="str">
        <x:v>root_cause_masked</x:v>
      </x:c>
      <x:c r="J5" s="18" t="str">
        <x:v>remediation_action_masked</x:v>
      </x:c>
      <x:c r="K5" s="18" t="str">
        <x:v>evidence_summary_masked</x:v>
      </x:c>
      <x:c r="L5" s="18" t="str">
        <x:v>evidence_object_key</x:v>
      </x:c>
      <x:c r="M5" s="18" t="str">
        <x:v>evidence_sha256</x:v>
      </x:c>
      <x:c r="N5" s="18" t="str">
        <x:v>evidence_key_ref</x:v>
      </x:c>
      <x:c r="O5" s="18" t="str">
        <x:v>remediated_at</x:v>
      </x:c>
      <x:c r="P5" s="18" t="str">
        <x:v>created_by</x:v>
      </x:c>
      <x:c r="Q5" s="18" t="str">
        <x:v>created_at</x:v>
      </x:c>
      <x:c r="R5" s="18" t="str">
        <x:v>updated_by</x:v>
      </x:c>
      <x:c r="S5" s="19" t="str">
        <x:v>updated_at</x:v>
      </x:c>
    </x:row>
    <x:row r="6" ht="24" hidden="0" customHeight="1">
      <x:c r="A6" s="22" t="n">
        <x:v>6001</x:v>
      </x:c>
      <x:c r="B6" s="22" t="n">
        <x:v>5001</x:v>
      </x:c>
      <x:c r="C6" s="22" t="str">
        <x:v>TICKET-SHOP-001</x:v>
      </x:c>
      <x:c r="D6" s="22" t="n">
        <x:v>5</x:v>
      </x:c>
      <x:c r="E6" s="22" t="n">
        <x:v>3</x:v>
      </x:c>
      <x:c r="F6" s="24" t="n">
        <x:v>46266.208333333336</x:v>
      </x:c>
      <x:c r="G6" s="24" t="n">
        <x:v>46276</x:v>
      </x:c>
      <x:c r="H6" s="22" t="n">
        <x:v>100</x:v>
      </x:c>
      <x:c r="I6" s="25" t="str">
        <x:v>Câu truy vấn ghép chuỗi từ tham số đường dẫn</x:v>
      </x:c>
      <x:c r="J6" s="25" t="str">
        <x:v>Chuyển sang prepared statement và kiểm tra kiểu dữ liệu</x:v>
      </x:c>
      <x:c r="K6" s="25" t="str">
        <x:v>Đã kiểm thử hồi quy API đơn hàng</x:v>
      </x:c>
      <x:c r="L6" s="25" t="str">
        <x:v>evidence/shop/5001.bin</x:v>
      </x:c>
      <x:c r="M6" s="22" t="str">
        <x:v>1a1a1a1a1a1a1a1a1a1a1a1a1a1a1a1a1a1a1a1a1a1a1a1a1a1a1a1a1a1a1a1a</x:v>
      </x:c>
      <x:c r="N6" s="22" t="str">
        <x:v>kms://demo/evidence-key</x:v>
      </x:c>
      <x:c r="O6" s="24" t="n">
        <x:v>46274.375</x:v>
      </x:c>
      <x:c r="P6" s="22" t="n">
        <x:v>3</x:v>
      </x:c>
      <x:c r="Q6" s="24" t="n">
        <x:v>46266.208333333336</x:v>
      </x:c>
      <x:c r="R6" s="22" t="n">
        <x:v>5</x:v>
      </x:c>
      <x:c r="S6" s="24" t="n">
        <x:v>46274.375</x:v>
      </x:c>
    </x:row>
    <x:row r="7" ht="24" hidden="0" customHeight="1">
      <x:c r="A7" s="22" t="n">
        <x:v>6002</x:v>
      </x:c>
      <x:c r="B7" s="22" t="n">
        <x:v>5002</x:v>
      </x:c>
      <x:c r="C7" s="22" t="str">
        <x:v>TICKET-SHOP-002</x:v>
      </x:c>
      <x:c r="D7" s="22" t="n">
        <x:v>5</x:v>
      </x:c>
      <x:c r="E7" s="22" t="n">
        <x:v>3</x:v>
      </x:c>
      <x:c r="F7" s="24" t="n">
        <x:v>46266.21527777778</x:v>
      </x:c>
      <x:c r="G7" s="24" t="n">
        <x:v>46284</x:v>
      </x:c>
      <x:c r="H7" s="22" t="n">
        <x:v>60</x:v>
      </x:c>
      <x:c r="I7" s="25" t="str">
        <x:v>Cấu hình reverse proxy chưa có CSP</x:v>
      </x:c>
      <x:c r="J7" s="25" t="str">
        <x:v>Đang thử nghiệm CSP ở chế độ report-only</x:v>
      </x:c>
      <x:c r="K7" s="25"/>
      <x:c r="L7" s="25"/>
      <x:c r="M7" s="22"/>
      <x:c r="N7" s="22"/>
      <x:c r="O7" s="24"/>
      <x:c r="P7" s="22" t="n">
        <x:v>3</x:v>
      </x:c>
      <x:c r="Q7" s="24" t="n">
        <x:v>46266.21527777778</x:v>
      </x:c>
      <x:c r="R7" s="22" t="n">
        <x:v>5</x:v>
      </x:c>
      <x:c r="S7" s="24" t="n">
        <x:v>46285.333333333336</x:v>
      </x:c>
    </x:row>
    <x:row r="8" ht="24" hidden="0" customHeight="1">
      <x:c r="A8" s="22" t="n">
        <x:v>6003</x:v>
      </x:c>
      <x:c r="B8" s="22" t="n">
        <x:v>5003</x:v>
      </x:c>
      <x:c r="C8" s="22" t="str">
        <x:v>TICKET-PORTAL-001</x:v>
      </x:c>
      <x:c r="D8" s="22" t="n">
        <x:v>5</x:v>
      </x:c>
      <x:c r="E8" s="22" t="n">
        <x:v>3</x:v>
      </x:c>
      <x:c r="F8" s="24" t="n">
        <x:v>46268.208333333336</x:v>
      </x:c>
      <x:c r="G8" s="24" t="n">
        <x:v>46291</x:v>
      </x:c>
      <x:c r="H8" s="22" t="n">
        <x:v>20</x:v>
      </x:c>
      <x:c r="I8" s="25" t="str">
        <x:v>Dữ liệu tìm kiếm chưa được encode</x:v>
      </x:c>
      <x:c r="J8" s="25" t="str">
        <x:v>Đang bổ sung output encoding theo ngữ cảnh HTML</x:v>
      </x:c>
      <x:c r="K8" s="25"/>
      <x:c r="L8" s="25"/>
      <x:c r="M8" s="22"/>
      <x:c r="N8" s="22"/>
      <x:c r="O8" s="24"/>
      <x:c r="P8" s="22" t="n">
        <x:v>3</x:v>
      </x:c>
      <x:c r="Q8" s="24" t="n">
        <x:v>46268.208333333336</x:v>
      </x:c>
      <x:c r="R8" s="22" t="n">
        <x:v>5</x:v>
      </x:c>
      <x:c r="S8" s="24" t="n">
        <x:v>46284.333333333336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d98dea6ba3db42a3"/>
  </x:tableParts>
</x:worksheet>
</file>

<file path=xl/worksheets/sheet14.xml><?xml version="1.0" encoding="utf-8"?>
<x:worksheet xmlns:x="http://schemas.openxmlformats.org/spreadsheetml/2006/main">
  <x:sheetPr>
    <x:tabColor rgb="FFA68AD4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4" hidden="0" customWidth="1"/>
    <x:col min="5" max="5" width="12" hidden="0" customWidth="1"/>
    <x:col min="6" max="6" width="29" hidden="0" customWidth="1"/>
    <x:col min="7" max="7" width="20" hidden="0" customWidth="1"/>
    <x:col min="8" max="8" width="12" hidden="0" customWidth="1"/>
    <x:col min="9" max="9" width="10" hidden="0" customWidth="1"/>
    <x:col min="10" max="10" width="30" hidden="0" customWidth="1"/>
    <x:col min="11" max="11" width="30" hidden="0" customWidth="1"/>
    <x:col min="12" max="12" width="30" hidden="0" customWidth="1"/>
    <x:col min="13" max="13" width="24" hidden="0" customWidth="1"/>
  </x:cols>
  <x:sheetData>
    <x:row r="2">
      <x:c r="A2" s="3" t="str">
        <x:v>audit_log — nhật ký bảo mật và nghiệp vụ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2" t="str">
        <x:v>Audit append-only. before_masked và after_masked chỉ chứa dữ liệu đã che.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ht="32" hidden="0" customHeight="1">
      <x:c r="A5" s="17" t="str">
        <x:v>id</x:v>
      </x:c>
      <x:c r="B5" s="18" t="str">
        <x:v>actor_id</x:v>
      </x:c>
      <x:c r="C5" s="18" t="str">
        <x:v>actor_kind</x:v>
      </x:c>
      <x:c r="D5" s="18" t="str">
        <x:v>occurred_at</x:v>
      </x:c>
      <x:c r="E5" s="18" t="str">
        <x:v>category</x:v>
      </x:c>
      <x:c r="F5" s="18" t="str">
        <x:v>action</x:v>
      </x:c>
      <x:c r="G5" s="18" t="str">
        <x:v>object_type</x:v>
      </x:c>
      <x:c r="H5" s="18" t="str">
        <x:v>object_id</x:v>
      </x:c>
      <x:c r="I5" s="18" t="str">
        <x:v>outcome</x:v>
      </x:c>
      <x:c r="J5" s="18" t="str">
        <x:v>before_masked</x:v>
      </x:c>
      <x:c r="K5" s="18" t="str">
        <x:v>after_masked</x:v>
      </x:c>
      <x:c r="L5" s="18" t="str">
        <x:v>reason_masked</x:v>
      </x:c>
      <x:c r="M5" s="19" t="str">
        <x:v>correlation_id</x:v>
      </x:c>
    </x:row>
    <x:row r="6" ht="24" hidden="0" customHeight="1">
      <x:c r="A6" s="22" t="n">
        <x:v>8001</x:v>
      </x:c>
      <x:c r="B6" s="22" t="n">
        <x:v>1</x:v>
      </x:c>
      <x:c r="C6" s="22" t="str">
        <x:v>Human</x:v>
      </x:c>
      <x:c r="D6" s="24" t="n">
        <x:v>46027.125</x:v>
      </x:c>
      <x:c r="E6" s="22" t="str">
        <x:v>Permission</x:v>
      </x:c>
      <x:c r="F6" s="22" t="str">
        <x:v>role.grant</x:v>
      </x:c>
      <x:c r="G6" s="22" t="str">
        <x:v>user_role</x:v>
      </x:c>
      <x:c r="H6" s="22" t="str">
        <x:v>202</x:v>
      </x:c>
      <x:c r="I6" s="22" t="str">
        <x:v>Success</x:v>
      </x:c>
      <x:c r="J6" s="25"/>
      <x:c r="K6" s="25" t="str">
        <x:v>{"user_id":3,"role_code":"SECURITY","asset_id":101}</x:v>
      </x:c>
      <x:c r="L6" s="25" t="str">
        <x:v>Phân công ATTT phụ trách</x:v>
      </x:c>
      <x:c r="M6" s="22" t="str">
        <x:v>11111111-1111-4111-8111-111111111111</x:v>
      </x:c>
    </x:row>
    <x:row r="7" ht="24" hidden="0" customHeight="1">
      <x:c r="A7" s="22" t="n">
        <x:v>8002</x:v>
      </x:c>
      <x:c r="B7" s="22" t="n">
        <x:v>3</x:v>
      </x:c>
      <x:c r="C7" s="22" t="str">
        <x:v>Human</x:v>
      </x:c>
      <x:c r="D7" s="24" t="n">
        <x:v>46266.166666666664</x:v>
      </x:c>
      <x:c r="E7" s="22" t="str">
        <x:v>Business</x:v>
      </x:c>
      <x:c r="F7" s="22" t="str">
        <x:v>finding.assess</x:v>
      </x:c>
      <x:c r="G7" s="22" t="str">
        <x:v>finding</x:v>
      </x:c>
      <x:c r="H7" s="22" t="str">
        <x:v>5001</x:v>
      </x:c>
      <x:c r="I7" s="22" t="str">
        <x:v>Success</x:v>
      </x:c>
      <x:c r="J7" s="25" t="str">
        <x:v>{"final_severity":null,"status":"New"}</x:v>
      </x:c>
      <x:c r="K7" s="25" t="str">
        <x:v>{"final_severity":"High","status":"Triaged"}</x:v>
      </x:c>
      <x:c r="L7" s="25" t="str">
        <x:v>Xác nhận theo bối cảnh tài sản production</x:v>
      </x:c>
      <x:c r="M7" s="22" t="str">
        <x:v>22222222-2222-4222-8222-222222222222</x:v>
      </x:c>
    </x:row>
    <x:row r="8" ht="15" hidden="0" customHeight="1">
      <x:c r="A8" s="22" t="n">
        <x:v>8003</x:v>
      </x:c>
      <x:c r="B8" s="22" t="n">
        <x:v>7</x:v>
      </x:c>
      <x:c r="C8" s="22" t="str">
        <x:v>Service</x:v>
      </x:c>
      <x:c r="D8" s="24" t="n">
        <x:v>46266.131944444445</x:v>
      </x:c>
      <x:c r="E8" s="22" t="str">
        <x:v>Import</x:v>
      </x:c>
      <x:c r="F8" s="22" t="str">
        <x:v>report.process</x:v>
      </x:c>
      <x:c r="G8" s="22" t="str">
        <x:v>scan_run</x:v>
      </x:c>
      <x:c r="H8" s="22" t="str">
        <x:v>4001</x:v>
      </x:c>
      <x:c r="I8" s="22" t="str">
        <x:v>Success</x:v>
      </x:c>
      <x:c r="J8" s="25" t="str">
        <x:v>{"report_status":"Validating"}</x:v>
      </x:c>
      <x:c r="K8" s="25" t="str">
        <x:v>{"report_status":"Processed"}</x:v>
      </x:c>
      <x:c r="L8" s="25" t="str">
        <x:v>Báo cáo hợp lệ và trong phạm vi</x:v>
      </x:c>
      <x:c r="M8" s="22" t="str">
        <x:v>33333333-3333-4333-8333-333333333333</x:v>
      </x:c>
    </x:row>
    <x:row r="9" ht="15" hidden="0" customHeight="1">
      <x:c r="A9" s="22" t="n">
        <x:v>8004</x:v>
      </x:c>
      <x:c r="B9" s="22"/>
      <x:c r="C9" s="22" t="str">
        <x:v>System</x:v>
      </x:c>
      <x:c r="D9" s="24" t="n">
        <x:v>46273.05694444444</x:v>
      </x:c>
      <x:c r="E9" s="22" t="str">
        <x:v>System</x:v>
      </x:c>
      <x:c r="F9" s="22" t="str">
        <x:v>scan.fail</x:v>
      </x:c>
      <x:c r="G9" s="22" t="str">
        <x:v>scan_run</x:v>
      </x:c>
      <x:c r="H9" s="22" t="str">
        <x:v>4002</x:v>
      </x:c>
      <x:c r="I9" s="22" t="str">
        <x:v>Failure</x:v>
      </x:c>
      <x:c r="J9" s="25" t="str">
        <x:v>{"scan_status":"Running"}</x:v>
      </x:c>
      <x:c r="K9" s="25" t="str">
        <x:v>{"scan_status":"Failed"}</x:v>
      </x:c>
      <x:c r="L9" s="25" t="str">
        <x:v>Mất kết nối với tiến trình ZAP</x:v>
      </x:c>
      <x:c r="M9" s="22" t="str">
        <x:v>44444444-4444-4444-8444-444444444444</x:v>
      </x:c>
    </x:row>
    <x:row r="10" ht="24" hidden="0" customHeight="1">
      <x:c r="A10" s="22" t="n">
        <x:v>8005</x:v>
      </x:c>
      <x:c r="B10" s="22" t="n">
        <x:v>5</x:v>
      </x:c>
      <x:c r="C10" s="22" t="str">
        <x:v>Human</x:v>
      </x:c>
      <x:c r="D10" s="24" t="n">
        <x:v>46274.375</x:v>
      </x:c>
      <x:c r="E10" s="22" t="str">
        <x:v>Business</x:v>
      </x:c>
      <x:c r="F10" s="22" t="str">
        <x:v>ticket.complete_remediation</x:v>
      </x:c>
      <x:c r="G10" s="22" t="str">
        <x:v>remediation_ticket</x:v>
      </x:c>
      <x:c r="H10" s="22" t="str">
        <x:v>6001</x:v>
      </x:c>
      <x:c r="I10" s="22" t="str">
        <x:v>Success</x:v>
      </x:c>
      <x:c r="J10" s="25" t="str">
        <x:v>{"progress_percent":80}</x:v>
      </x:c>
      <x:c r="K10" s="25" t="str">
        <x:v>{"progress_percent":100}</x:v>
      </x:c>
      <x:c r="L10" s="25" t="str">
        <x:v>Đã triển khai bản sửa và cung cấp bằng chứng</x:v>
      </x:c>
      <x:c r="M10" s="22" t="str">
        <x:v>55555555-5555-4555-8555-555555555555</x:v>
      </x:c>
    </x:row>
    <x:row r="11" ht="24" hidden="0" customHeight="1">
      <x:c r="A11" s="22" t="n">
        <x:v>8006</x:v>
      </x:c>
      <x:c r="B11" s="22" t="n">
        <x:v>3</x:v>
      </x:c>
      <x:c r="C11" s="22" t="str">
        <x:v>Human</x:v>
      </x:c>
      <x:c r="D11" s="24" t="n">
        <x:v>46280.1875</x:v>
      </x:c>
      <x:c r="E11" s="22" t="str">
        <x:v>Business</x:v>
      </x:c>
      <x:c r="F11" s="22" t="str">
        <x:v>finding.close</x:v>
      </x:c>
      <x:c r="G11" s="22" t="str">
        <x:v>finding</x:v>
      </x:c>
      <x:c r="H11" s="22" t="str">
        <x:v>5001</x:v>
      </x:c>
      <x:c r="I11" s="22" t="str">
        <x:v>Success</x:v>
      </x:c>
      <x:c r="J11" s="25" t="str">
        <x:v>{"status":"Pending Verification"}</x:v>
      </x:c>
      <x:c r="K11" s="25" t="str">
        <x:v>{"status":"Closed"}</x:v>
      </x:c>
      <x:c r="L11" s="25" t="str">
        <x:v>Quét xác minh đủ bao phủ và không còn fingerprint</x:v>
      </x:c>
      <x:c r="M11" s="22" t="str">
        <x:v>66666666-6666-4666-8666-666666666666</x:v>
      </x:c>
    </x:row>
  </x:sheetData>
  <x:conditionalFormatting sqref="I6:I11">
    <x:cfRule type="containsText" dxfId="170" priority="1" operator="containsText" text="Active"/>
    <x:cfRule type="containsText" dxfId="171" priority="2" operator="containsText" text="Approved"/>
    <x:cfRule type="containsText" dxfId="172" priority="3" operator="containsText" text="Completed"/>
    <x:cfRule type="containsText" dxfId="173" priority="4" operator="containsText" text="Processed"/>
    <x:cfRule type="containsText" dxfId="174" priority="5" operator="containsText" text="Closed"/>
    <x:cfRule type="containsText" dxfId="175" priority="6" operator="containsText" text="Success"/>
    <x:cfRule type="containsText" dxfId="176" priority="7" operator="containsText" text="Include"/>
    <x:cfRule type="containsText" dxfId="177" priority="8" operator="containsText" text="Failed"/>
    <x:cfRule type="containsText" dxfId="178" priority="9" operator="containsText" text="Failure"/>
    <x:cfRule type="containsText" dxfId="179" priority="10" operator="containsText" text="Critical"/>
    <x:cfRule type="containsText" dxfId="180" priority="11" operator="containsText" text="Rejected"/>
    <x:cfRule type="containsText" dxfId="181" priority="12" operator="containsText" text="Exclude"/>
    <x:cfRule type="containsText" dxfId="182" priority="13" operator="containsText" text="Suspended"/>
    <x:cfRule type="containsText" dxfId="183" priority="14" operator="containsText" text="Running"/>
    <x:cfRule type="containsText" dxfId="184" priority="15" operator="containsText" text="In Progress"/>
    <x:cfRule type="containsText" dxfId="185" priority="16" operator="containsText" text="High"/>
    <x:cfRule type="containsText" dxfId="186" priority="17" operator="containsText" text="Not Received"/>
  </x:conditionalFormatting>
  <x:pageMargins left="0.7" right="0.7" top="0.75" bottom="0.75" header="0.3" footer="0.3"/>
  <x:tableParts count="1">
    <x:tablePart xmlns:r="http://schemas.openxmlformats.org/officeDocument/2006/relationships" r:id="R6894d0f02e054eb1"/>
  </x:tableParts>
</x:worksheet>
</file>

<file path=xl/worksheets/sheet1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92" hidden="0" customWidth="1"/>
    <x:col min="4" max="4" width="42" hidden="0" customWidth="1"/>
  </x:cols>
  <x:sheetData>
    <x:row r="2">
      <x:c r="A2" s="3" t="str">
        <x:v>Truy vấn SQL minh họa</x:v>
      </x:c>
      <x:c r="B2" s="4"/>
      <x:c r="C2" s="4"/>
      <x:c r="D2" s="4"/>
    </x:row>
    <x:row r="3">
      <x:c r="A3" s="2" t="str">
        <x:v>Các câu lệnh dùng schema htqlhdk13 và dữ liệu mẫu trong workbook.</x:v>
      </x:c>
      <x:c r="B3" s="2"/>
      <x:c r="C3" s="2"/>
      <x:c r="D3" s="2"/>
    </x:row>
    <x:row r="5" ht="30" customHeight="1">
      <x:c r="A5" s="29" t="str">
        <x:v>STT</x:v>
      </x:c>
      <x:c r="B5" s="30" t="str">
        <x:v>Mục đích</x:v>
      </x:c>
      <x:c r="C5" s="30" t="str">
        <x:v>SQL</x:v>
      </x:c>
      <x:c r="D5" s="31" t="str">
        <x:v>Kết quả minh họa</x:v>
      </x:c>
    </x:row>
    <x:row r="6" ht="110" customHeight="1">
      <x:c r="A6" s="36" t="n">
        <x:v>1</x:v>
      </x:c>
      <x:c r="B6" s="37" t="str">
        <x:v>Người dùng và quyền theo tài sản</x:v>
      </x:c>
      <x:c r="C6" s="38" t="str">
        <x:v>SELECT u.username, u.display_name, ur.role_code,
       COALESCE(a.code, '(TOÀN HỆ THỐNG)') AS asset_code
FROM user_role ur
JOIN app_user u ON u.id = ur.user_id
LEFT JOIN asset a ON a.id = ur.asset_id
WHERE ur.revoked_at IS NULL
ORDER BY u.username, ur.role_code, asset_code;</x:v>
      </x:c>
      <x:c r="D6" s="37" t="str">
        <x:v>Liệt kê ADMIN toàn hệ thống và các quyền SECURITY, SCAN_OPERATOR, REMEDIATOR, AUDITOR theo asset.</x:v>
      </x:c>
    </x:row>
    <x:row r="7" ht="110" customHeight="1">
      <x:c r="A7" s="36" t="n">
        <x:v>2</x:v>
      </x:c>
      <x:c r="B7" s="37" t="str">
        <x:v>Tài sản và người phụ trách</x:v>
      </x:c>
      <x:c r="C7" s="38" t="str">
        <x:v>SELECT a.code, a.name, owner.display_name AS owner_name,
       security.display_name AS security_officer, a.status
FROM asset a
JOIN app_user owner ON owner.id = a.owner_id
JOIN app_user security ON security.id = a.security_officer_id
ORDER BY a.code;</x:v>
      </x:c>
      <x:c r="D7" s="37" t="str">
        <x:v>Trả về ba tài sản cùng chủ sở hữu và chuyên viên ATTT phụ trách.</x:v>
      </x:c>
    </x:row>
    <x:row r="8" ht="110" customHeight="1">
      <x:c r="A8" s="36" t="n">
        <x:v>3</x:v>
      </x:c>
      <x:c r="B8" s="37" t="str">
        <x:v>Phạm vi include và exclude</x:v>
      </x:c>
      <x:c r="C8" s="38" t="str">
        <x:v>SELECT a.code, scope.version_no, rule.effect,
       rule.target_type, rule.target_value, rule.match_mode
FROM asset a
JOIN asset_scope_revision scope ON scope.asset_id = a.id
JOIN asset_scope_rule rule ON rule.scope_id = scope.id
WHERE a.code = 'ASSET-SHOP' AND scope.status = 'Approved'
ORDER BY CASE rule.effect WHEN 'Include' THEN 1 ELSE 2 END, rule.id;</x:v>
      </x:c>
      <x:c r="D8" s="37" t="str">
        <x:v>ASSET-SHOP có hai luật Include và hai luật Exclude.</x:v>
      </x:c>
    </x:row>
    <x:row r="9" ht="110" customHeight="1">
      <x:c r="A9" s="36" t="n">
        <x:v>4</x:v>
      </x:c>
      <x:c r="B9" s="37" t="str">
        <x:v>Lịch sử quét và tài sản</x:v>
      </x:c>
      <x:c r="C9" s="38" t="str">
        <x:v>SELECT run.code AS run_code, asset.code AS asset_code,
       plan.plan_kind, run.scheduled_for, run.scan_status,
       run.report_status, run.failure_code
FROM scan_run run
JOIN scan_plan plan ON plan.id = run.plan_id
JOIN asset_scope_revision scope ON scope.id = plan.scope_id
JOIN asset asset ON asset.id = scope.asset_id
ORDER BY run.scheduled_for;</x:v>
      </x:c>
      <x:c r="D9" s="37" t="str">
        <x:v>Tài sản được suy ra qua run → plan → scope → asset.</x:v>
      </x:c>
    </x:row>
    <x:row r="10" ht="110" customHeight="1">
      <x:c r="A10" s="36" t="n">
        <x:v>5</x:v>
      </x:c>
      <x:c r="B10" s="37" t="str">
        <x:v>Thống kê phát hiện theo mức độ</x:v>
      </x:c>
      <x:c r="C10" s="38" t="str">
        <x:v>SELECT asset.code AS asset_code, finding.final_severity,
       COUNT(*) AS finding_count
FROM finding
JOIN asset ON asset.id = finding.asset_id
GROUP BY asset.code, finding.final_severity
ORDER BY asset.code, finding.final_severity;</x:v>
      </x:c>
      <x:c r="D10" s="37" t="str">
        <x:v>ASSET-PORTAL có một Critical; ASSET-SHOP có một High và một Medium.</x:v>
      </x:c>
    </x:row>
    <x:row r="11" ht="110" customHeight="1">
      <x:c r="A11" s="36" t="n">
        <x:v>6</x:v>
      </x:c>
      <x:c r="B11" s="37" t="str">
        <x:v>First seen và last seen</x:v>
      </x:c>
      <x:c r="C11" s="38" t="str">
        <x:v>SELECT finding.code, MIN(run.started_at) AS first_seen_at,
       MAX(run.started_at) AS last_seen_at, COUNT(*) AS occurrence_count
FROM finding
JOIN finding_occurrence occurrence ON occurrence.finding_id = finding.id
JOIN scan_run run ON run.id = occurrence.scan_run_id
GROUP BY finding.id, finding.code
ORDER BY finding.code;</x:v>
      </x:c>
      <x:c r="D11" s="37" t="str">
        <x:v>Tính từ occurrence và run, không lưu lặp trong finding.</x:v>
      </x:c>
    </x:row>
    <x:row r="12" ht="110" customHeight="1">
      <x:c r="A12" s="36" t="n">
        <x:v>7</x:v>
      </x:c>
      <x:c r="B12" s="37" t="str">
        <x:v>Phiếu quá hạn</x:v>
      </x:c>
      <x:c r="C12" s="38" t="str">
        <x:v>SELECT ticket.code, finding.code, ticket.progress_percent, ticket.due_at,
       CASE WHEN finding.status IN ('Closed','False Positive','Cancelled') THEN 'Đã kết thúc'
            WHEN ticket.due_at &lt; TIMESTAMPTZ '2026-09-21 00:00:00+00' THEN 'Quá hạn'
            ELSE 'Trong hạn' END AS due_state
FROM remediation_ticket ticket
JOIN finding ON finding.id = ticket.finding_id
ORDER BY ticket.due_at;</x:v>
      </x:c>
      <x:c r="D12" s="37" t="str">
        <x:v>TICKET-SHOP-002 quá hạn tại thời điểm báo cáo 21/09/2026.</x:v>
      </x:c>
    </x:row>
    <x:row r="13" ht="110" customHeight="1">
      <x:c r="A13" s="36" t="n">
        <x:v>8</x:v>
      </x:c>
      <x:c r="B13" s="37" t="str">
        <x:v>Kết quả quét xác minh</x:v>
      </x:c>
      <x:c r="C13" s="38" t="str">
        <x:v>SELECT ticket.code, finding.code, plan.code, run.code,
       run.coverage_confirmed, run.fingerprint_present,
       run.verification_outcome, run.evaluated_at
FROM remediation_ticket ticket
JOIN finding ON finding.id = ticket.finding_id
JOIN scan_plan plan ON plan.remediation_ticket_id = ticket.id
LEFT JOIN scan_run run ON run.plan_id = plan.id
WHERE plan.plan_kind = 'Verification';</x:v>
      </x:c>
      <x:c r="D13" s="37" t="str">
        <x:v>TICKET-SHOP-001 có coverage_confirmed=true, fingerprint_present=false và kết quả Closed.</x:v>
      </x:c>
    </x:row>
    <x:row r="14" ht="110" customHeight="1">
      <x:c r="A14" s="36" t="n">
        <x:v>9</x:v>
      </x:c>
      <x:c r="B14" s="37" t="str">
        <x:v>Các lần quét cần chú ý</x:v>
      </x:c>
      <x:c r="C14" s="38" t="str">
        <x:v>SELECT code, scan_status, heartbeat_at, failure_code, failure_message_masked
FROM scan_run
WHERE scan_status IN ('Failed','Timed Out')
   OR (scan_status = 'Running'
       AND heartbeat_at &lt; TIMESTAMPTZ '2026-09-20 03:00:00+00')
ORDER BY scheduled_for;</x:v>
      </x:c>
      <x:c r="D14" s="37" t="str">
        <x:v>Trả về một lần quét Failed và một lần Running có heartbeat cũ.</x:v>
      </x:c>
    </x:row>
    <x:row r="15" ht="110" customHeight="1">
      <x:c r="A15" s="36" t="n">
        <x:v>10</x:v>
      </x:c>
      <x:c r="B15" s="37" t="str">
        <x:v>Audit của một phát hiện</x:v>
      </x:c>
      <x:c r="C15" s="38" t="str">
        <x:v>SELECT audit.occurred_at, COALESCE(actor.display_name, audit.actor_kind) AS actor,
       audit.action, audit.outcome, audit.before_masked, audit.after_masked, audit.reason_masked
FROM audit_log audit
LEFT JOIN app_user actor ON actor.id = audit.actor_id
WHERE audit.object_type = 'finding' AND audit.object_id = '5001'
ORDER BY audit.occurred_at;</x:v>
      </x:c>
      <x:c r="D15" s="37" t="str">
        <x:v>Hiển thị lịch sử đánh giá mức độ và đóng FIND-SHOP-001.</x:v>
      </x:c>
    </x:row>
  </x:sheetData>
  <x:pageMargins left="0.7" right="0.7" top="0.75" bottom="0.75" header="0.3" footer="0.3"/>
  <x:tableParts count="1">
    <x:tablePart xmlns:r="http://schemas.openxmlformats.org/officeDocument/2006/relationships" r:id="Rc8934d48ceb64356"/>
  </x:tableParts>
</x:worksheet>
</file>